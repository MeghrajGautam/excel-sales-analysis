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E:\PRACTICE_DATASETS\Practice Datasets\"/>
    </mc:Choice>
  </mc:AlternateContent>
  <xr:revisionPtr revIDLastSave="0" documentId="8_{9E8F4A11-3B1E-4E60-AEDE-5C7BE93BD4A6}" xr6:coauthVersionLast="47" xr6:coauthVersionMax="47" xr10:uidLastSave="{00000000-0000-0000-0000-000000000000}"/>
  <bookViews>
    <workbookView xWindow="-93" yWindow="-93" windowWidth="25786" windowHeight="13866" activeTab="1" xr2:uid="{00000000-000D-0000-FFFF-FFFF00000000}"/>
  </bookViews>
  <sheets>
    <sheet name="Sheet1" sheetId="3" r:id="rId1"/>
    <sheet name="Superstore Sales" sheetId="1" r:id="rId2"/>
    <sheet name="Summary" sheetId="2" r:id="rId3"/>
  </sheets>
  <calcPr calcId="191029"/>
  <pivotCaches>
    <pivotCache cacheId="0" r:id="rId4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2" i="1"/>
  <c r="S2" i="1"/>
  <c r="R2" i="1"/>
  <c r="B8" i="2"/>
  <c r="B7" i="2"/>
  <c r="B6" i="2"/>
  <c r="B5" i="2"/>
  <c r="B4" i="2"/>
</calcChain>
</file>

<file path=xl/sharedStrings.xml><?xml version="1.0" encoding="utf-8"?>
<sst xmlns="http://schemas.openxmlformats.org/spreadsheetml/2006/main" count="975" uniqueCount="244">
  <si>
    <t>Order ID</t>
  </si>
  <si>
    <t>Order Date</t>
  </si>
  <si>
    <t>Ship Date</t>
  </si>
  <si>
    <t>Ship Mode</t>
  </si>
  <si>
    <t>Customer ID</t>
  </si>
  <si>
    <t>Customer Name</t>
  </si>
  <si>
    <t>Segment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</si>
  <si>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</si>
  <si>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</si>
  <si>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</si>
  <si>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</si>
  <si>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</si>
  <si>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</si>
  <si>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</si>
  <si>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</si>
  <si>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</si>
  <si>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ORD-20230001</t>
  </si>
  <si>
    <t>Standard Class</t>
  </si>
  <si>
    <t>CUST-018</t>
  </si>
  <si>
    <t>Divya Agarwal</t>
  </si>
  <si>
    <t>Home Office</t>
  </si>
  <si>
    <t>UP</t>
  </si>
  <si>
    <t>North</t>
  </si>
  <si>
    <t>Furniture</t>
  </si>
  <si>
    <t>Bookcase</t>
  </si>
  <si>
    <t>Bookcase Lite</t>
  </si>
  <si>
    <t>ORD-20230002</t>
  </si>
  <si>
    <t>Same Day</t>
  </si>
  <si>
    <t>Consumer</t>
  </si>
  <si>
    <t>WB</t>
  </si>
  <si>
    <t>East</t>
  </si>
  <si>
    <t>Desk</t>
  </si>
  <si>
    <t>Desk Elite</t>
  </si>
  <si>
    <t>ORD-20230003</t>
  </si>
  <si>
    <t>CUST-003</t>
  </si>
  <si>
    <t>Ravi Kumar</t>
  </si>
  <si>
    <t>Rajasthan</t>
  </si>
  <si>
    <t>Table</t>
  </si>
  <si>
    <t>Table Plus</t>
  </si>
  <si>
    <t>ORD-20230004</t>
  </si>
  <si>
    <t>First Class</t>
  </si>
  <si>
    <t>CUST-010</t>
  </si>
  <si>
    <t>Kavita Reddy</t>
  </si>
  <si>
    <t>Tamil Nadu</t>
  </si>
  <si>
    <t>Table Elite</t>
  </si>
  <si>
    <t>ORD-20230005</t>
  </si>
  <si>
    <t>Second Class</t>
  </si>
  <si>
    <t>CUST-012</t>
  </si>
  <si>
    <t>Meena Iyer</t>
  </si>
  <si>
    <t>Corporate</t>
  </si>
  <si>
    <t>South</t>
  </si>
  <si>
    <t>Bookcase Pro</t>
  </si>
  <si>
    <t>ORD-20230006</t>
  </si>
  <si>
    <t>CUST-013</t>
  </si>
  <si>
    <t>Arun Das</t>
  </si>
  <si>
    <t>Office Supplies</t>
  </si>
  <si>
    <t>Pen</t>
  </si>
  <si>
    <t>Pen Elite</t>
  </si>
  <si>
    <t>ORD-20230007</t>
  </si>
  <si>
    <t>CUST-011</t>
  </si>
  <si>
    <t>Suresh Rao</t>
  </si>
  <si>
    <t>West</t>
  </si>
  <si>
    <t>Bookcase Basic</t>
  </si>
  <si>
    <t>ORD-20230008</t>
  </si>
  <si>
    <t>CUST-019</t>
  </si>
  <si>
    <t>Nitin Pandey</t>
  </si>
  <si>
    <t>ORD-20230009</t>
  </si>
  <si>
    <t>CUST-014</t>
  </si>
  <si>
    <t>Pooja Shah</t>
  </si>
  <si>
    <t>Paper</t>
  </si>
  <si>
    <t>Paper Pro</t>
  </si>
  <si>
    <t>ORD-20230010</t>
  </si>
  <si>
    <t>CUST-004</t>
  </si>
  <si>
    <t>Sunita Singh</t>
  </si>
  <si>
    <t>Karnataka</t>
  </si>
  <si>
    <t>Pen Pro</t>
  </si>
  <si>
    <t>ORD-20230011</t>
  </si>
  <si>
    <t>Stapler</t>
  </si>
  <si>
    <t>Stapler Elite</t>
  </si>
  <si>
    <t>ORD-20230012</t>
  </si>
  <si>
    <t>ORD-20230013</t>
  </si>
  <si>
    <t>CUST-006</t>
  </si>
  <si>
    <t>Anjali Gupta</t>
  </si>
  <si>
    <t>Technology</t>
  </si>
  <si>
    <t>Laptop</t>
  </si>
  <si>
    <t>Laptop Elite</t>
  </si>
  <si>
    <t>ORD-20230014</t>
  </si>
  <si>
    <t>CUST-017</t>
  </si>
  <si>
    <t>Sanjay Mishra</t>
  </si>
  <si>
    <t>Notebook</t>
  </si>
  <si>
    <t>Notebook Plus</t>
  </si>
  <si>
    <t>ORD-20230015</t>
  </si>
  <si>
    <t>CUST-002</t>
  </si>
  <si>
    <t>Priya Patel</t>
  </si>
  <si>
    <t>Maharashtra</t>
  </si>
  <si>
    <t>Sofa</t>
  </si>
  <si>
    <t>Sofa Elite</t>
  </si>
  <si>
    <t>ORD-20230016</t>
  </si>
  <si>
    <t>ORD-20230017</t>
  </si>
  <si>
    <t>ORD-20230018</t>
  </si>
  <si>
    <t>Delhi</t>
  </si>
  <si>
    <t>Sofa Basic</t>
  </si>
  <si>
    <t>ORD-20230019</t>
  </si>
  <si>
    <t>Chair</t>
  </si>
  <si>
    <t>Chair Lite</t>
  </si>
  <si>
    <t>ORD-20230020</t>
  </si>
  <si>
    <t>Tablet</t>
  </si>
  <si>
    <t>Tablet Basic</t>
  </si>
  <si>
    <t>ORD-20230021</t>
  </si>
  <si>
    <t>Paper Elite</t>
  </si>
  <si>
    <t>ORD-20230022</t>
  </si>
  <si>
    <t>Notebook Elite</t>
  </si>
  <si>
    <t>ORD-20230023</t>
  </si>
  <si>
    <t>CUST-001</t>
  </si>
  <si>
    <t>Amit Sharma</t>
  </si>
  <si>
    <t>Phone</t>
  </si>
  <si>
    <t>Phone Plus</t>
  </si>
  <si>
    <t>ORD-20230024</t>
  </si>
  <si>
    <t>Gujarat</t>
  </si>
  <si>
    <t>Stapler Lite</t>
  </si>
  <si>
    <t>ORD-20230025</t>
  </si>
  <si>
    <t>CUST-005</t>
  </si>
  <si>
    <t>Deepak Verma</t>
  </si>
  <si>
    <t>Stapler Pro</t>
  </si>
  <si>
    <t>ORD-20230026</t>
  </si>
  <si>
    <t>ORD-20230027</t>
  </si>
  <si>
    <t>Phone Basic</t>
  </si>
  <si>
    <t>ORD-20230028</t>
  </si>
  <si>
    <t>Table Lite</t>
  </si>
  <si>
    <t>ORD-20230029</t>
  </si>
  <si>
    <t>ORD-20230030</t>
  </si>
  <si>
    <t>ORD-20230031</t>
  </si>
  <si>
    <t>CUST-009</t>
  </si>
  <si>
    <t>Vikram Nair</t>
  </si>
  <si>
    <t>Desk Pro</t>
  </si>
  <si>
    <t>ORD-20230032</t>
  </si>
  <si>
    <t>Phone Elite</t>
  </si>
  <si>
    <t>ORD-20230033</t>
  </si>
  <si>
    <t>CUST-007</t>
  </si>
  <si>
    <t>Rahul Joshi</t>
  </si>
  <si>
    <t>Laptop Basic</t>
  </si>
  <si>
    <t>ORD-20230034</t>
  </si>
  <si>
    <t>Pen Plus</t>
  </si>
  <si>
    <t>ORD-20230035</t>
  </si>
  <si>
    <t>ORD-20230036</t>
  </si>
  <si>
    <t>ORD-20230037</t>
  </si>
  <si>
    <t>CUST-020</t>
  </si>
  <si>
    <t>Swati Chandra</t>
  </si>
  <si>
    <t>Phone Lite</t>
  </si>
  <si>
    <t>ORD-20230038</t>
  </si>
  <si>
    <t>Printer</t>
  </si>
  <si>
    <t>Printer Lite</t>
  </si>
  <si>
    <t>ORD-20230039</t>
  </si>
  <si>
    <t>Chair Basic</t>
  </si>
  <si>
    <t>ORD-20230040</t>
  </si>
  <si>
    <t>Printer Plus</t>
  </si>
  <si>
    <t>ORD-20230041</t>
  </si>
  <si>
    <t>ORD-20230042</t>
  </si>
  <si>
    <t>Tablet Elite</t>
  </si>
  <si>
    <t>ORD-20230043</t>
  </si>
  <si>
    <t>CUST-008</t>
  </si>
  <si>
    <t>Neha Mehta</t>
  </si>
  <si>
    <t>Printer Basic</t>
  </si>
  <si>
    <t>ORD-20230044</t>
  </si>
  <si>
    <t>ORD-20230045</t>
  </si>
  <si>
    <t>ORD-20230046</t>
  </si>
  <si>
    <t>Table Pro</t>
  </si>
  <si>
    <t>ORD-20230047</t>
  </si>
  <si>
    <t>CUST-015</t>
  </si>
  <si>
    <t>Manish Tiwari</t>
  </si>
  <si>
    <t>Desk Lite</t>
  </si>
  <si>
    <t>ORD-20230048</t>
  </si>
  <si>
    <t>Sofa Pro</t>
  </si>
  <si>
    <t>ORD-20230049</t>
  </si>
  <si>
    <t>Monitor</t>
  </si>
  <si>
    <t>Monitor Pro</t>
  </si>
  <si>
    <t>ORD-20230050</t>
  </si>
  <si>
    <t>ORD-20230051</t>
  </si>
  <si>
    <t>Binder</t>
  </si>
  <si>
    <t>Binder Plus</t>
  </si>
  <si>
    <t>ORD-20230052</t>
  </si>
  <si>
    <t>Tablet Lite</t>
  </si>
  <si>
    <t>ORD-20230053</t>
  </si>
  <si>
    <t>CUST-016</t>
  </si>
  <si>
    <t>Rekha Yadav</t>
  </si>
  <si>
    <t>Paper Basic</t>
  </si>
  <si>
    <t>ORD-20230054</t>
  </si>
  <si>
    <t>ORD-20230055</t>
  </si>
  <si>
    <t>ORD-20230056</t>
  </si>
  <si>
    <t>ORD-20230057</t>
  </si>
  <si>
    <t>ORD-20230058</t>
  </si>
  <si>
    <t>Laptop Pro</t>
  </si>
  <si>
    <t>ORD-20230059</t>
  </si>
  <si>
    <t>ORD-20230060</t>
  </si>
  <si>
    <t>ORD-20230061</t>
  </si>
  <si>
    <t>ORD-20230062</t>
  </si>
  <si>
    <t>Bookcase Elite</t>
  </si>
  <si>
    <t>ORD-20230063</t>
  </si>
  <si>
    <t>Monitor Elite</t>
  </si>
  <si>
    <t>ORD-20230064</t>
  </si>
  <si>
    <t>ORD-20230065</t>
  </si>
  <si>
    <t>Paper Plus</t>
  </si>
  <si>
    <t>ORD-20230066</t>
  </si>
  <si>
    <t>Pen Lite</t>
  </si>
  <si>
    <t>ORD-20230067</t>
  </si>
  <si>
    <t>ORD-20230068</t>
  </si>
  <si>
    <t>Desk Plus</t>
  </si>
  <si>
    <t>ORD-20230069</t>
  </si>
  <si>
    <t>ORD-20230070</t>
  </si>
  <si>
    <t>Stapler Basic</t>
  </si>
  <si>
    <t>ORD-20230071</t>
  </si>
  <si>
    <t>ORD-20230072</t>
  </si>
  <si>
    <t>Binder Basic</t>
  </si>
  <si>
    <t>ORD-20230073</t>
  </si>
  <si>
    <t>ORD-20230074</t>
  </si>
  <si>
    <t>Desk Basic</t>
  </si>
  <si>
    <t>ORD-20230075</t>
  </si>
  <si>
    <t>Superstore Sales Summary</t>
  </si>
  <si>
    <t>Metric</t>
  </si>
  <si>
    <t>Value</t>
  </si>
  <si>
    <t>Total Orders</t>
  </si>
  <si>
    <t>Total Sales</t>
  </si>
  <si>
    <t>Total Profit</t>
  </si>
  <si>
    <t>Avg Discount</t>
  </si>
  <si>
    <t>Avg Order Value</t>
  </si>
  <si>
    <t>Average Sales</t>
  </si>
  <si>
    <t>Status</t>
  </si>
  <si>
    <t>Grand Total</t>
  </si>
  <si>
    <t>Sum of Sales</t>
  </si>
  <si>
    <t>Products</t>
  </si>
  <si>
    <t>Jun</t>
  </si>
  <si>
    <t>Oct</t>
  </si>
  <si>
    <t>Aug</t>
  </si>
  <si>
    <t>Jan</t>
  </si>
  <si>
    <t>Feb</t>
  </si>
  <si>
    <t>Nov</t>
  </si>
  <si>
    <t>Sep</t>
  </si>
  <si>
    <t>Mar</t>
  </si>
  <si>
    <t>Dec</t>
  </si>
  <si>
    <t>Jul</t>
  </si>
  <si>
    <t>Apr</t>
  </si>
  <si>
    <t>May</t>
  </si>
  <si>
    <t>Count of Sales</t>
  </si>
  <si>
    <t>Max.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</si>
</sst>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yyyy\-mm\-dd"/>
    <numFmt numFmtId="165" formatCode="\₹#,##0.0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0"/>
      <color rgb="FFFFFFFF"/>
      <name val="Arial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9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9" fontId="2" fillId="4" borderId="1" xfId="0" applyNumberFormat="1" applyFont="1" applyFill="1" applyBorder="1" applyAlignment="1">
      <alignment horizontal="center"/>
    </xf>
    <xf numFmtId="0" fontId="3" fillId="0" borderId="0" xfId="0" applyFont="1"/>
    <xf numFmtId="0" fontId="4" fillId="2" borderId="1" xfId="0" applyFont="1" applyFill="1" applyBorder="1"/>
    <xf numFmtId="0" fontId="2" fillId="3" borderId="1" xfId="0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165" fontId="2" fillId="3" borderId="1" xfId="0" applyNumberFormat="1" applyFont="1" applyFill="1" applyBorder="1"/>
    <xf numFmtId="166" fontId="2" fillId="0" borderId="1" xfId="0" applyNumberFormat="1" applyFont="1" applyBorder="1"/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1" fillId="2" borderId="1" xfId="1" applyNumberFormat="1" applyFont="1" applyFill="1" applyBorder="1" applyAlignment="1">
      <alignment horizontal="center" vertical="center" wrapText="1"/>
    </xf>
    <xf numFmtId="2" fontId="2" fillId="3" borderId="1" xfId="1" applyNumberFormat="1" applyFont="1" applyFill="1" applyBorder="1" applyAlignment="1">
      <alignment horizontal="center"/>
    </xf>
    <xf numFmtId="2" fontId="2" fillId="4" borderId="1" xfId="1" applyNumberFormat="1" applyFont="1" applyFill="1" applyBorder="1" applyAlignment="1">
      <alignment horizontal="center"/>
    </xf>
    <xf numFmtId="2" fontId="0" fillId="0" borderId="0" xfId="1" applyNumberFormat="1" applyFont="1"/>
    <xf numFmtId="2" fontId="1" fillId="2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h Gautam" refreshedDate="46088.783065625001" createdVersion="8" refreshedVersion="8" minRefreshableVersion="3" recordCount="75" xr:uid="{99FAD0BB-4D70-49B5-85BE-155ABA9E5130}">
  <cacheSource type="worksheet">
    <worksheetSource ref="A1:S76" sheet="Superstore Sales"/>
  </cacheSource>
  <cacheFields count="21">
    <cacheField name="Order ID" numFmtId="0">
      <sharedItems/>
    </cacheField>
    <cacheField name="Order Date" numFmtId="164">
      <sharedItems containsSemiMixedTypes="0" containsNonDate="0" containsDate="1" containsString="0" minDate="2023-01-02T00:00:00" maxDate="2023-12-24T00:00:00" count="64">
        <d v="2023-11-24T00:00:00"/>
        <d v="2023-01-16T00:00:00"/>
        <d v="2023-01-04T00:00:00"/>
        <d v="2023-11-06T00:00:00"/>
        <d v="2023-01-24T00:00:00"/>
        <d v="2023-12-10T00:00:00"/>
        <d v="2023-01-29T00:00:00"/>
        <d v="2023-11-26T00:00:00"/>
        <d v="2023-04-23T00:00:00"/>
        <d v="2023-09-28T00:00:00"/>
        <d v="2023-01-02T00:00:00"/>
        <d v="2023-10-04T00:00:00"/>
        <d v="2023-02-13T00:00:00"/>
        <d v="2023-02-02T00:00:00"/>
        <d v="2023-02-06T00:00:00"/>
        <d v="2023-04-08T00:00:00"/>
        <d v="2023-05-08T00:00:00"/>
        <d v="2023-11-30T00:00:00"/>
        <d v="2023-07-19T00:00:00"/>
        <d v="2023-01-30T00:00:00"/>
        <d v="2023-07-26T00:00:00"/>
        <d v="2023-05-03T00:00:00"/>
        <d v="2023-10-03T00:00:00"/>
        <d v="2023-12-08T00:00:00"/>
        <d v="2023-04-15T00:00:00"/>
        <d v="2023-03-08T00:00:00"/>
        <d v="2023-10-26T00:00:00"/>
        <d v="2023-07-01T00:00:00"/>
        <d v="2023-07-30T00:00:00"/>
        <d v="2023-06-29T00:00:00"/>
        <d v="2023-01-15T00:00:00"/>
        <d v="2023-10-23T00:00:00"/>
        <d v="2023-11-16T00:00:00"/>
        <d v="2023-12-13T00:00:00"/>
        <d v="2023-08-15T00:00:00"/>
        <d v="2023-05-01T00:00:00"/>
        <d v="2023-12-23T00:00:00"/>
        <d v="2023-01-26T00:00:00"/>
        <d v="2023-03-23T00:00:00"/>
        <d v="2023-08-14T00:00:00"/>
        <d v="2023-09-06T00:00:00"/>
        <d v="2023-05-10T00:00:00"/>
        <d v="2023-01-11T00:00:00"/>
        <d v="2023-03-25T00:00:00"/>
        <d v="2023-08-04T00:00:00"/>
        <d v="2023-08-27T00:00:00"/>
        <d v="2023-06-22T00:00:00"/>
        <d v="2023-04-24T00:00:00"/>
        <d v="2023-06-06T00:00:00"/>
        <d v="2023-10-29T00:00:00"/>
        <d v="2023-01-27T00:00:00"/>
        <d v="2023-10-10T00:00:00"/>
        <d v="2023-03-26T00:00:00"/>
        <d v="2023-02-11T00:00:00"/>
        <d v="2023-03-31T00:00:00"/>
        <d v="2023-06-20T00:00:00"/>
        <d v="2023-11-17T00:00:00"/>
        <d v="2023-06-09T00:00:00"/>
        <d v="2023-05-30T00:00:00"/>
        <d v="2023-05-22T00:00:00"/>
        <d v="2023-06-26T00:00:00"/>
        <d v="2023-06-12T00:00:00"/>
        <d v="2023-09-27T00:00:00"/>
        <d v="2023-12-12T00:00:00"/>
      </sharedItems>
      <fieldGroup par="20"/>
    </cacheField>
    <cacheField name="Ship Date" numFmtId="164">
      <sharedItems containsSemiMixedTypes="0" containsNonDate="0" containsDate="1" containsString="0" minDate="2023-01-07T00:00:00" maxDate="2023-12-31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Stat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 count="49">
        <s v="Bookcase Lite"/>
        <s v="Desk Elite"/>
        <s v="Table Plus"/>
        <s v="Table Elite"/>
        <s v="Bookcase Pro"/>
        <s v="Pen Elite"/>
        <s v="Bookcase Basic"/>
        <s v="Paper Pro"/>
        <s v="Pen Pro"/>
        <s v="Stapler Elite"/>
        <s v="Laptop Elite"/>
        <s v="Notebook Plus"/>
        <s v="Sofa Elite"/>
        <s v="Sofa Basic"/>
        <s v="Chair Lite"/>
        <s v="Tablet Basic"/>
        <s v="Paper Elite"/>
        <s v="Notebook Elite"/>
        <s v="Phone Plus"/>
        <s v="Stapler Lite"/>
        <s v="Stapler Pro"/>
        <s v="Phone Basic"/>
        <s v="Table Lite"/>
        <s v="Desk Pro"/>
        <s v="Phone Elite"/>
        <s v="Laptop Basic"/>
        <s v="Pen Plus"/>
        <s v="Phone Lite"/>
        <s v="Printer Lite"/>
        <s v="Chair Basic"/>
        <s v="Printer Plus"/>
        <s v="Tablet Elite"/>
        <s v="Printer Basic"/>
        <s v="Table Pro"/>
        <s v="Desk Lite"/>
        <s v="Sofa Pro"/>
        <s v="Monitor Pro"/>
        <s v="Binder Plus"/>
        <s v="Tablet Lite"/>
        <s v="Paper Basic"/>
        <s v="Laptop Pro"/>
        <s v="Bookcase Elite"/>
        <s v="Monitor Elite"/>
        <s v="Paper Plus"/>
        <s v="Pen Lite"/>
        <s v="Desk Plus"/>
        <s v="Stapler Basic"/>
        <s v="Binder Basic"/>
        <s v="Desk Basic"/>
      </sharedItems>
    </cacheField>
    <cacheField name="Sales" numFmtId="165">
      <sharedItems containsSemiMixedTypes="0" containsString="0" containsNumber="1" minValue="951.73" maxValue="39955.56"/>
    </cacheField>
    <cacheField name="Status" numFmtId="165">
      <sharedItems/>
    </cacheField>
    <cacheField name="Quantity" numFmtId="0">
      <sharedItems containsSemiMixedTypes="0" containsString="0" containsNumber="1" containsInteger="1" minValue="1" maxValue="10"/>
    </cacheField>
    <cacheField name="Discount" numFmtId="9">
      <sharedItems containsSemiMixedTypes="0" containsString="0" containsNumber="1" minValue="0" maxValue="0.2"/>
    </cacheField>
    <cacheField name="Profit" numFmtId="165">
      <sharedItems containsSemiMixedTypes="0" containsString="0" containsNumber="1" minValue="164.43" maxValue="11295.76"/>
    </cacheField>
    <cacheField name="Total Sales" numFmtId="0">
      <sharedItems containsString="0" containsBlank="1" containsNumber="1" minValue="1001480.4399999997" maxValue="1001480.4399999997"/>
    </cacheField>
    <cacheField name="Average Sales" numFmtId="0">
      <sharedItems containsString="0" containsBlank="1" containsNumber="1" minValue="13353.07253333333" maxValue="13353.07253333333"/>
    </cacheField>
    <cacheField name="Days (Order Date)" numFmtId="0" databaseField="0">
      <fieldGroup base="1">
        <rangePr groupBy="days" startDate="2023-01-02T00:00:00" endDate="2023-12-24T00:00:00"/>
        <groupItems count="368">
          <s v="&lt;02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4-12-2023"/>
        </groupItems>
      </fieldGroup>
    </cacheField>
    <cacheField name="Months (Order Date)" numFmtId="0" databaseField="0">
      <fieldGroup base="1">
        <rangePr groupBy="months" startDate="2023-01-02T00:00:00" endDate="2023-12-24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-12-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s v="ORD-20230001"/>
    <x v="0"/>
    <d v="2023-11-25T00:00:00"/>
    <s v="Standard Class"/>
    <s v="CUST-018"/>
    <s v="Divya Agarwal"/>
    <s v="Home Office"/>
    <s v="UP"/>
    <x v="0"/>
    <s v="Furniture"/>
    <s v="Bookcase"/>
    <x v="0"/>
    <n v="3479.13"/>
    <s v="Low Sales"/>
    <n v="4"/>
    <n v="0"/>
    <n v="880.25"/>
    <n v="1001480.4399999997"/>
    <n v="13353.07253333333"/>
  </r>
  <r>
    <s v="ORD-20230002"/>
    <x v="1"/>
    <d v="2023-01-17T00:00:00"/>
    <s v="Same Day"/>
    <s v="CUST-018"/>
    <s v="Divya Agarwal"/>
    <s v="Consumer"/>
    <s v="WB"/>
    <x v="1"/>
    <s v="Furniture"/>
    <s v="Desk"/>
    <x v="1"/>
    <n v="3273.73"/>
    <s v="Low Sales"/>
    <n v="10"/>
    <n v="0"/>
    <n v="866.9"/>
    <m/>
    <m/>
  </r>
  <r>
    <s v="ORD-20230003"/>
    <x v="2"/>
    <d v="2023-01-11T00:00:00"/>
    <s v="Same Day"/>
    <s v="CUST-003"/>
    <s v="Ravi Kumar"/>
    <s v="Consumer"/>
    <s v="Rajasthan"/>
    <x v="1"/>
    <s v="Furniture"/>
    <s v="Table"/>
    <x v="2"/>
    <n v="3785.21"/>
    <s v="Low Sales"/>
    <n v="5"/>
    <n v="0.2"/>
    <n v="571.48"/>
    <m/>
    <m/>
  </r>
  <r>
    <s v="ORD-20230004"/>
    <x v="3"/>
    <d v="2023-11-09T00:00:00"/>
    <s v="First Class"/>
    <s v="CUST-010"/>
    <s v="Kavita Reddy"/>
    <s v="Home Office"/>
    <s v="Tamil Nadu"/>
    <x v="0"/>
    <s v="Furniture"/>
    <s v="Table"/>
    <x v="3"/>
    <n v="9254.82"/>
    <s v="High Sales"/>
    <n v="2"/>
    <n v="0.05"/>
    <n v="681.53"/>
    <m/>
    <m/>
  </r>
  <r>
    <s v="ORD-20230005"/>
    <x v="4"/>
    <d v="2023-01-30T00:00:00"/>
    <s v="Second Class"/>
    <s v="CUST-012"/>
    <s v="Meena Iyer"/>
    <s v="Corporate"/>
    <s v="Rajasthan"/>
    <x v="2"/>
    <s v="Furniture"/>
    <s v="Bookcase"/>
    <x v="4"/>
    <n v="16564.66"/>
    <s v="High Sales"/>
    <n v="4"/>
    <n v="0.05"/>
    <n v="2209.59"/>
    <m/>
    <m/>
  </r>
  <r>
    <s v="ORD-20230006"/>
    <x v="5"/>
    <d v="2023-12-13T00:00:00"/>
    <s v="First Class"/>
    <s v="CUST-013"/>
    <s v="Arun Das"/>
    <s v="Home Office"/>
    <s v="Tamil Nadu"/>
    <x v="1"/>
    <s v="Office Supplies"/>
    <s v="Pen"/>
    <x v="5"/>
    <n v="8291.61"/>
    <s v="High Sales"/>
    <n v="3"/>
    <n v="0"/>
    <n v="821.04"/>
    <m/>
    <m/>
  </r>
  <r>
    <s v="ORD-20230007"/>
    <x v="6"/>
    <d v="2023-01-31T00:00:00"/>
    <s v="Second Class"/>
    <s v="CUST-011"/>
    <s v="Suresh Rao"/>
    <s v="Home Office"/>
    <s v="WB"/>
    <x v="3"/>
    <s v="Furniture"/>
    <s v="Bookcase"/>
    <x v="6"/>
    <n v="2329.67"/>
    <s v="Low Sales"/>
    <n v="5"/>
    <n v="0.1"/>
    <n v="728.98"/>
    <m/>
    <m/>
  </r>
  <r>
    <s v="ORD-20230008"/>
    <x v="7"/>
    <d v="2023-11-30T00:00:00"/>
    <s v="Same Day"/>
    <s v="CUST-019"/>
    <s v="Nitin Pandey"/>
    <s v="Home Office"/>
    <s v="UP"/>
    <x v="1"/>
    <s v="Furniture"/>
    <s v="Bookcase"/>
    <x v="0"/>
    <n v="13593.41"/>
    <s v="High Sales"/>
    <n v="4"/>
    <n v="0.1"/>
    <n v="1751.14"/>
    <m/>
    <m/>
  </r>
  <r>
    <s v="ORD-20230009"/>
    <x v="8"/>
    <d v="2023-04-25T00:00:00"/>
    <s v="Standard Class"/>
    <s v="CUST-014"/>
    <s v="Pooja Shah"/>
    <s v="Corporate"/>
    <s v="UP"/>
    <x v="3"/>
    <s v="Office Supplies"/>
    <s v="Paper"/>
    <x v="7"/>
    <n v="4333.29"/>
    <s v="High Sales"/>
    <n v="1"/>
    <n v="0"/>
    <n v="1032.3399999999999"/>
    <m/>
    <m/>
  </r>
  <r>
    <s v="ORD-20230010"/>
    <x v="9"/>
    <d v="2023-10-01T00:00:00"/>
    <s v="First Class"/>
    <s v="CUST-004"/>
    <s v="Sunita Singh"/>
    <s v="Corporate"/>
    <s v="Karnataka"/>
    <x v="3"/>
    <s v="Office Supplies"/>
    <s v="Pen"/>
    <x v="8"/>
    <n v="27390.34"/>
    <s v="High Sales"/>
    <n v="9"/>
    <n v="0.2"/>
    <n v="6636.37"/>
    <m/>
    <m/>
  </r>
  <r>
    <s v="ORD-20230011"/>
    <x v="10"/>
    <d v="2023-01-08T00:00:00"/>
    <s v="Second Class"/>
    <s v="CUST-010"/>
    <s v="Kavita Reddy"/>
    <s v="Consumer"/>
    <s v="Rajasthan"/>
    <x v="2"/>
    <s v="Office Supplies"/>
    <s v="Stapler"/>
    <x v="9"/>
    <n v="7910.62"/>
    <s v="High Sales"/>
    <n v="3"/>
    <n v="0"/>
    <n v="2461.4299999999998"/>
    <m/>
    <m/>
  </r>
  <r>
    <s v="ORD-20230012"/>
    <x v="11"/>
    <d v="2023-10-11T00:00:00"/>
    <s v="Second Class"/>
    <s v="CUST-010"/>
    <s v="Kavita Reddy"/>
    <s v="Consumer"/>
    <s v="Tamil Nadu"/>
    <x v="0"/>
    <s v="Office Supplies"/>
    <s v="Pen"/>
    <x v="5"/>
    <n v="15271.84"/>
    <s v="High Sales"/>
    <n v="6"/>
    <n v="0"/>
    <n v="5020.3100000000004"/>
    <m/>
    <m/>
  </r>
  <r>
    <s v="ORD-20230013"/>
    <x v="12"/>
    <d v="2023-02-19T00:00:00"/>
    <s v="First Class"/>
    <s v="CUST-006"/>
    <s v="Anjali Gupta"/>
    <s v="Home Office"/>
    <s v="UP"/>
    <x v="2"/>
    <s v="Technology"/>
    <s v="Laptop"/>
    <x v="10"/>
    <n v="2326.4"/>
    <s v="Low Sales"/>
    <n v="3"/>
    <n v="0.05"/>
    <n v="777.14"/>
    <m/>
    <m/>
  </r>
  <r>
    <s v="ORD-20230014"/>
    <x v="11"/>
    <d v="2023-10-11T00:00:00"/>
    <s v="Same Day"/>
    <s v="CUST-017"/>
    <s v="Sanjay Mishra"/>
    <s v="Consumer"/>
    <s v="Tamil Nadu"/>
    <x v="2"/>
    <s v="Office Supplies"/>
    <s v="Notebook"/>
    <x v="11"/>
    <n v="29611.47"/>
    <s v="High Sales"/>
    <n v="7"/>
    <n v="0.15"/>
    <n v="4797.83"/>
    <m/>
    <m/>
  </r>
  <r>
    <s v="ORD-20230015"/>
    <x v="13"/>
    <d v="2023-02-05T00:00:00"/>
    <s v="Second Class"/>
    <s v="CUST-002"/>
    <s v="Priya Patel"/>
    <s v="Consumer"/>
    <s v="Maharashtra"/>
    <x v="1"/>
    <s v="Furniture"/>
    <s v="Sofa"/>
    <x v="12"/>
    <n v="12098.05"/>
    <s v="High Sales"/>
    <n v="4"/>
    <n v="0"/>
    <n v="862.57"/>
    <m/>
    <m/>
  </r>
  <r>
    <s v="ORD-20230016"/>
    <x v="14"/>
    <d v="2023-02-11T00:00:00"/>
    <s v="Same Day"/>
    <s v="CUST-019"/>
    <s v="Nitin Pandey"/>
    <s v="Consumer"/>
    <s v="WB"/>
    <x v="3"/>
    <s v="Furniture"/>
    <s v="Bookcase"/>
    <x v="6"/>
    <n v="9480.2999999999993"/>
    <s v="High Sales"/>
    <n v="4"/>
    <n v="0.15"/>
    <n v="3134.7"/>
    <m/>
    <m/>
  </r>
  <r>
    <s v="ORD-20230017"/>
    <x v="15"/>
    <d v="2023-04-09T00:00:00"/>
    <s v="Standard Class"/>
    <s v="CUST-004"/>
    <s v="Sunita Singh"/>
    <s v="Corporate"/>
    <s v="Rajasthan"/>
    <x v="0"/>
    <s v="Furniture"/>
    <s v="Table"/>
    <x v="2"/>
    <n v="12170.43"/>
    <s v="High Sales"/>
    <n v="7"/>
    <n v="0.2"/>
    <n v="3270.47"/>
    <m/>
    <m/>
  </r>
  <r>
    <s v="ORD-20230018"/>
    <x v="16"/>
    <d v="2023-05-10T00:00:00"/>
    <s v="Same Day"/>
    <s v="CUST-003"/>
    <s v="Ravi Kumar"/>
    <s v="Home Office"/>
    <s v="Delhi"/>
    <x v="0"/>
    <s v="Furniture"/>
    <s v="Sofa"/>
    <x v="13"/>
    <n v="6675.1"/>
    <s v="High Sales"/>
    <n v="3"/>
    <n v="0"/>
    <n v="1260.18"/>
    <m/>
    <m/>
  </r>
  <r>
    <s v="ORD-20230019"/>
    <x v="17"/>
    <d v="2023-12-05T00:00:00"/>
    <s v="Standard Class"/>
    <s v="CUST-013"/>
    <s v="Arun Das"/>
    <s v="Consumer"/>
    <s v="UP"/>
    <x v="0"/>
    <s v="Furniture"/>
    <s v="Chair"/>
    <x v="14"/>
    <n v="6129.74"/>
    <s v="High Sales"/>
    <n v="3"/>
    <n v="0.05"/>
    <n v="699.55"/>
    <m/>
    <m/>
  </r>
  <r>
    <s v="ORD-20230020"/>
    <x v="18"/>
    <d v="2023-07-22T00:00:00"/>
    <s v="Second Class"/>
    <s v="CUST-010"/>
    <s v="Kavita Reddy"/>
    <s v="Consumer"/>
    <s v="Maharashtra"/>
    <x v="1"/>
    <s v="Technology"/>
    <s v="Tablet"/>
    <x v="15"/>
    <n v="28873.200000000001"/>
    <s v="High Sales"/>
    <n v="9"/>
    <n v="0.05"/>
    <n v="2784.5"/>
    <m/>
    <m/>
  </r>
  <r>
    <s v="ORD-20230021"/>
    <x v="19"/>
    <d v="2023-01-31T00:00:00"/>
    <s v="Standard Class"/>
    <s v="CUST-006"/>
    <s v="Anjali Gupta"/>
    <s v="Home Office"/>
    <s v="Delhi"/>
    <x v="2"/>
    <s v="Office Supplies"/>
    <s v="Paper"/>
    <x v="16"/>
    <n v="7740.98"/>
    <s v="High Sales"/>
    <n v="9"/>
    <n v="0.1"/>
    <n v="573.09"/>
    <m/>
    <m/>
  </r>
  <r>
    <s v="ORD-20230022"/>
    <x v="20"/>
    <d v="2023-07-27T00:00:00"/>
    <s v="First Class"/>
    <s v="CUST-019"/>
    <s v="Nitin Pandey"/>
    <s v="Corporate"/>
    <s v="Tamil Nadu"/>
    <x v="1"/>
    <s v="Office Supplies"/>
    <s v="Notebook"/>
    <x v="17"/>
    <n v="3907.6"/>
    <s v="Low Sales"/>
    <n v="10"/>
    <n v="0"/>
    <n v="686.83"/>
    <m/>
    <m/>
  </r>
  <r>
    <s v="ORD-20230023"/>
    <x v="21"/>
    <d v="2023-05-06T00:00:00"/>
    <s v="Same Day"/>
    <s v="CUST-001"/>
    <s v="Amit Sharma"/>
    <s v="Home Office"/>
    <s v="Delhi"/>
    <x v="0"/>
    <s v="Technology"/>
    <s v="Phone"/>
    <x v="18"/>
    <n v="10992.96"/>
    <s v="High Sales"/>
    <n v="8"/>
    <n v="0.2"/>
    <n v="3635.59"/>
    <m/>
    <m/>
  </r>
  <r>
    <s v="ORD-20230024"/>
    <x v="22"/>
    <d v="2023-10-05T00:00:00"/>
    <s v="Same Day"/>
    <s v="CUST-006"/>
    <s v="Anjali Gupta"/>
    <s v="Home Office"/>
    <s v="Gujarat"/>
    <x v="0"/>
    <s v="Office Supplies"/>
    <s v="Stapler"/>
    <x v="19"/>
    <n v="26568.89"/>
    <s v="High Sales"/>
    <n v="6"/>
    <n v="0"/>
    <n v="4273.82"/>
    <m/>
    <m/>
  </r>
  <r>
    <s v="ORD-20230025"/>
    <x v="23"/>
    <d v="2023-12-15T00:00:00"/>
    <s v="First Class"/>
    <s v="CUST-005"/>
    <s v="Deepak Verma"/>
    <s v="Corporate"/>
    <s v="Tamil Nadu"/>
    <x v="1"/>
    <s v="Office Supplies"/>
    <s v="Stapler"/>
    <x v="20"/>
    <n v="4408.3100000000004"/>
    <s v="High Sales"/>
    <n v="3"/>
    <n v="0"/>
    <n v="1202.26"/>
    <m/>
    <m/>
  </r>
  <r>
    <s v="ORD-20230026"/>
    <x v="24"/>
    <d v="2023-04-21T00:00:00"/>
    <s v="First Class"/>
    <s v="CUST-014"/>
    <s v="Pooja Shah"/>
    <s v="Consumer"/>
    <s v="Maharashtra"/>
    <x v="1"/>
    <s v="Office Supplies"/>
    <s v="Stapler"/>
    <x v="9"/>
    <n v="8994.44"/>
    <s v="High Sales"/>
    <n v="8"/>
    <n v="0.2"/>
    <n v="586.79"/>
    <m/>
    <m/>
  </r>
  <r>
    <s v="ORD-20230027"/>
    <x v="25"/>
    <d v="2023-03-14T00:00:00"/>
    <s v="Second Class"/>
    <s v="CUST-003"/>
    <s v="Ravi Kumar"/>
    <s v="Home Office"/>
    <s v="Maharashtra"/>
    <x v="1"/>
    <s v="Technology"/>
    <s v="Phone"/>
    <x v="21"/>
    <n v="29056.35"/>
    <s v="High Sales"/>
    <n v="9"/>
    <n v="0.1"/>
    <n v="1537.11"/>
    <m/>
    <m/>
  </r>
  <r>
    <s v="ORD-20230028"/>
    <x v="26"/>
    <d v="2023-10-31T00:00:00"/>
    <s v="First Class"/>
    <s v="CUST-002"/>
    <s v="Priya Patel"/>
    <s v="Consumer"/>
    <s v="Tamil Nadu"/>
    <x v="0"/>
    <s v="Furniture"/>
    <s v="Table"/>
    <x v="22"/>
    <n v="1343.71"/>
    <s v="Low Sales"/>
    <n v="1"/>
    <n v="0.2"/>
    <n v="459.09"/>
    <m/>
    <m/>
  </r>
  <r>
    <s v="ORD-20230029"/>
    <x v="27"/>
    <d v="2023-07-08T00:00:00"/>
    <s v="Same Day"/>
    <s v="CUST-006"/>
    <s v="Anjali Gupta"/>
    <s v="Consumer"/>
    <s v="Karnataka"/>
    <x v="1"/>
    <s v="Office Supplies"/>
    <s v="Paper"/>
    <x v="16"/>
    <n v="13931"/>
    <s v="High Sales"/>
    <n v="3"/>
    <n v="0"/>
    <n v="4310"/>
    <m/>
    <m/>
  </r>
  <r>
    <s v="ORD-20230030"/>
    <x v="28"/>
    <d v="2023-08-06T00:00:00"/>
    <s v="Same Day"/>
    <s v="CUST-002"/>
    <s v="Priya Patel"/>
    <s v="Consumer"/>
    <s v="Tamil Nadu"/>
    <x v="3"/>
    <s v="Office Supplies"/>
    <s v="Notebook"/>
    <x v="11"/>
    <n v="11938.19"/>
    <s v="High Sales"/>
    <n v="3"/>
    <n v="0"/>
    <n v="1966.97"/>
    <m/>
    <m/>
  </r>
  <r>
    <s v="ORD-20230031"/>
    <x v="29"/>
    <d v="2023-07-02T00:00:00"/>
    <s v="First Class"/>
    <s v="CUST-009"/>
    <s v="Vikram Nair"/>
    <s v="Home Office"/>
    <s v="UP"/>
    <x v="1"/>
    <s v="Furniture"/>
    <s v="Desk"/>
    <x v="23"/>
    <n v="8450.5499999999993"/>
    <s v="High Sales"/>
    <n v="4"/>
    <n v="0"/>
    <n v="2613.8000000000002"/>
    <m/>
    <m/>
  </r>
  <r>
    <s v="ORD-20230032"/>
    <x v="30"/>
    <d v="2023-01-16T00:00:00"/>
    <s v="Same Day"/>
    <s v="CUST-011"/>
    <s v="Suresh Rao"/>
    <s v="Home Office"/>
    <s v="Delhi"/>
    <x v="3"/>
    <s v="Technology"/>
    <s v="Phone"/>
    <x v="24"/>
    <n v="1726.36"/>
    <s v="Low Sales"/>
    <n v="5"/>
    <n v="0.1"/>
    <n v="311.38"/>
    <m/>
    <m/>
  </r>
  <r>
    <s v="ORD-20230033"/>
    <x v="31"/>
    <d v="2023-10-25T00:00:00"/>
    <s v="First Class"/>
    <s v="CUST-007"/>
    <s v="Rahul Joshi"/>
    <s v="Corporate"/>
    <s v="Delhi"/>
    <x v="1"/>
    <s v="Technology"/>
    <s v="Laptop"/>
    <x v="25"/>
    <n v="2156.4899999999998"/>
    <s v="Low Sales"/>
    <n v="1"/>
    <n v="0.2"/>
    <n v="456.17"/>
    <m/>
    <m/>
  </r>
  <r>
    <s v="ORD-20230034"/>
    <x v="32"/>
    <d v="2023-11-19T00:00:00"/>
    <s v="Second Class"/>
    <s v="CUST-010"/>
    <s v="Kavita Reddy"/>
    <s v="Consumer"/>
    <s v="UP"/>
    <x v="3"/>
    <s v="Office Supplies"/>
    <s v="Pen"/>
    <x v="26"/>
    <n v="14403.04"/>
    <s v="High Sales"/>
    <n v="9"/>
    <n v="0.05"/>
    <n v="2129.56"/>
    <m/>
    <m/>
  </r>
  <r>
    <s v="ORD-20230035"/>
    <x v="33"/>
    <d v="2023-12-19T00:00:00"/>
    <s v="Second Class"/>
    <s v="CUST-010"/>
    <s v="Kavita Reddy"/>
    <s v="Corporate"/>
    <s v="Rajasthan"/>
    <x v="3"/>
    <s v="Furniture"/>
    <s v="Sofa"/>
    <x v="12"/>
    <n v="8596.64"/>
    <s v="High Sales"/>
    <n v="5"/>
    <n v="0.2"/>
    <n v="430.88"/>
    <m/>
    <m/>
  </r>
  <r>
    <s v="ORD-20230036"/>
    <x v="34"/>
    <d v="2023-08-19T00:00:00"/>
    <s v="First Class"/>
    <s v="CUST-003"/>
    <s v="Ravi Kumar"/>
    <s v="Home Office"/>
    <s v="Rajasthan"/>
    <x v="0"/>
    <s v="Office Supplies"/>
    <s v="Notebook"/>
    <x v="17"/>
    <n v="25663.55"/>
    <s v="High Sales"/>
    <n v="8"/>
    <n v="0.2"/>
    <n v="6949.39"/>
    <m/>
    <m/>
  </r>
  <r>
    <s v="ORD-20230037"/>
    <x v="35"/>
    <d v="2023-05-07T00:00:00"/>
    <s v="Standard Class"/>
    <s v="CUST-020"/>
    <s v="Swati Chandra"/>
    <s v="Corporate"/>
    <s v="UP"/>
    <x v="2"/>
    <s v="Technology"/>
    <s v="Phone"/>
    <x v="27"/>
    <n v="951.73"/>
    <s v="Low Sales"/>
    <n v="3"/>
    <n v="0"/>
    <n v="328.52"/>
    <m/>
    <m/>
  </r>
  <r>
    <s v="ORD-20230038"/>
    <x v="36"/>
    <d v="2023-12-27T00:00:00"/>
    <s v="Same Day"/>
    <s v="CUST-004"/>
    <s v="Sunita Singh"/>
    <s v="Consumer"/>
    <s v="Karnataka"/>
    <x v="3"/>
    <s v="Technology"/>
    <s v="Printer"/>
    <x v="28"/>
    <n v="10047.24"/>
    <s v="High Sales"/>
    <n v="3"/>
    <n v="0"/>
    <n v="3192.99"/>
    <m/>
    <m/>
  </r>
  <r>
    <s v="ORD-20230039"/>
    <x v="37"/>
    <d v="2023-01-31T00:00:00"/>
    <s v="First Class"/>
    <s v="CUST-018"/>
    <s v="Divya Agarwal"/>
    <s v="Corporate"/>
    <s v="UP"/>
    <x v="3"/>
    <s v="Furniture"/>
    <s v="Chair"/>
    <x v="29"/>
    <n v="10319.34"/>
    <s v="High Sales"/>
    <n v="3"/>
    <n v="0.15"/>
    <n v="2160.25"/>
    <m/>
    <m/>
  </r>
  <r>
    <s v="ORD-20230040"/>
    <x v="38"/>
    <d v="2023-03-29T00:00:00"/>
    <s v="Same Day"/>
    <s v="CUST-017"/>
    <s v="Sanjay Mishra"/>
    <s v="Home Office"/>
    <s v="Tamil Nadu"/>
    <x v="1"/>
    <s v="Technology"/>
    <s v="Printer"/>
    <x v="30"/>
    <n v="16925.37"/>
    <s v="High Sales"/>
    <n v="4"/>
    <n v="0"/>
    <n v="4734.7700000000004"/>
    <m/>
    <m/>
  </r>
  <r>
    <s v="ORD-20230041"/>
    <x v="39"/>
    <d v="2023-08-15T00:00:00"/>
    <s v="Second Class"/>
    <s v="CUST-005"/>
    <s v="Deepak Verma"/>
    <s v="Corporate"/>
    <s v="Karnataka"/>
    <x v="2"/>
    <s v="Office Supplies"/>
    <s v="Stapler"/>
    <x v="19"/>
    <n v="8154.31"/>
    <s v="High Sales"/>
    <n v="5"/>
    <n v="0.1"/>
    <n v="604.83000000000004"/>
    <m/>
    <m/>
  </r>
  <r>
    <s v="ORD-20230042"/>
    <x v="13"/>
    <d v="2023-02-06T00:00:00"/>
    <s v="Standard Class"/>
    <s v="CUST-013"/>
    <s v="Arun Das"/>
    <s v="Home Office"/>
    <s v="UP"/>
    <x v="3"/>
    <s v="Technology"/>
    <s v="Tablet"/>
    <x v="31"/>
    <n v="17565.73"/>
    <s v="High Sales"/>
    <n v="8"/>
    <n v="0"/>
    <n v="5267.39"/>
    <m/>
    <m/>
  </r>
  <r>
    <s v="ORD-20230043"/>
    <x v="2"/>
    <d v="2023-01-07T00:00:00"/>
    <s v="Same Day"/>
    <s v="CUST-008"/>
    <s v="Neha Mehta"/>
    <s v="Consumer"/>
    <s v="Gujarat"/>
    <x v="3"/>
    <s v="Technology"/>
    <s v="Printer"/>
    <x v="32"/>
    <n v="30683.41"/>
    <s v="High Sales"/>
    <n v="9"/>
    <n v="0.1"/>
    <n v="8896.98"/>
    <m/>
    <m/>
  </r>
  <r>
    <s v="ORD-20230044"/>
    <x v="40"/>
    <d v="2023-09-07T00:00:00"/>
    <s v="Standard Class"/>
    <s v="CUST-018"/>
    <s v="Divya Agarwal"/>
    <s v="Corporate"/>
    <s v="Maharashtra"/>
    <x v="0"/>
    <s v="Technology"/>
    <s v="Tablet"/>
    <x v="15"/>
    <n v="12703.28"/>
    <s v="High Sales"/>
    <n v="3"/>
    <n v="0"/>
    <n v="4372.68"/>
    <m/>
    <m/>
  </r>
  <r>
    <s v="ORD-20230045"/>
    <x v="7"/>
    <d v="2023-11-30T00:00:00"/>
    <s v="First Class"/>
    <s v="CUST-011"/>
    <s v="Suresh Rao"/>
    <s v="Corporate"/>
    <s v="Gujarat"/>
    <x v="3"/>
    <s v="Furniture"/>
    <s v="Table"/>
    <x v="22"/>
    <n v="1448.75"/>
    <s v="Low Sales"/>
    <n v="1"/>
    <n v="0"/>
    <n v="164.43"/>
    <m/>
    <m/>
  </r>
  <r>
    <s v="ORD-20230046"/>
    <x v="41"/>
    <d v="2023-05-17T00:00:00"/>
    <s v="Standard Class"/>
    <s v="CUST-003"/>
    <s v="Ravi Kumar"/>
    <s v="Consumer"/>
    <s v="Tamil Nadu"/>
    <x v="2"/>
    <s v="Furniture"/>
    <s v="Table"/>
    <x v="33"/>
    <n v="4050.1"/>
    <s v="High Sales"/>
    <n v="9"/>
    <n v="0"/>
    <n v="474.94"/>
    <m/>
    <m/>
  </r>
  <r>
    <s v="ORD-20230047"/>
    <x v="42"/>
    <d v="2023-01-16T00:00:00"/>
    <s v="First Class"/>
    <s v="CUST-015"/>
    <s v="Manish Tiwari"/>
    <s v="Corporate"/>
    <s v="Karnataka"/>
    <x v="0"/>
    <s v="Furniture"/>
    <s v="Desk"/>
    <x v="34"/>
    <n v="24576.5"/>
    <s v="High Sales"/>
    <n v="8"/>
    <n v="0.1"/>
    <n v="8216.59"/>
    <m/>
    <m/>
  </r>
  <r>
    <s v="ORD-20230048"/>
    <x v="43"/>
    <d v="2023-03-28T00:00:00"/>
    <s v="Standard Class"/>
    <s v="CUST-007"/>
    <s v="Rahul Joshi"/>
    <s v="Home Office"/>
    <s v="Tamil Nadu"/>
    <x v="0"/>
    <s v="Furniture"/>
    <s v="Sofa"/>
    <x v="35"/>
    <n v="14078.17"/>
    <s v="High Sales"/>
    <n v="5"/>
    <n v="0.05"/>
    <n v="2379.16"/>
    <m/>
    <m/>
  </r>
  <r>
    <s v="ORD-20230049"/>
    <x v="36"/>
    <d v="2023-12-30T00:00:00"/>
    <s v="Standard Class"/>
    <s v="CUST-012"/>
    <s v="Meena Iyer"/>
    <s v="Home Office"/>
    <s v="Rajasthan"/>
    <x v="0"/>
    <s v="Technology"/>
    <s v="Monitor"/>
    <x v="36"/>
    <n v="39566.5"/>
    <s v="High Sales"/>
    <n v="10"/>
    <n v="0"/>
    <n v="8301.98"/>
    <m/>
    <m/>
  </r>
  <r>
    <s v="ORD-20230050"/>
    <x v="44"/>
    <d v="2023-08-11T00:00:00"/>
    <s v="Same Day"/>
    <s v="CUST-005"/>
    <s v="Deepak Verma"/>
    <s v="Consumer"/>
    <s v="Gujarat"/>
    <x v="3"/>
    <s v="Technology"/>
    <s v="Laptop"/>
    <x v="25"/>
    <n v="15603.88"/>
    <s v="High Sales"/>
    <n v="6"/>
    <n v="0.2"/>
    <n v="2932.31"/>
    <m/>
    <m/>
  </r>
  <r>
    <s v="ORD-20230051"/>
    <x v="45"/>
    <d v="2023-08-31T00:00:00"/>
    <s v="Same Day"/>
    <s v="CUST-009"/>
    <s v="Vikram Nair"/>
    <s v="Consumer"/>
    <s v="WB"/>
    <x v="3"/>
    <s v="Office Supplies"/>
    <s v="Binder"/>
    <x v="37"/>
    <n v="20583.47"/>
    <s v="High Sales"/>
    <n v="6"/>
    <n v="0.2"/>
    <n v="6800.5"/>
    <m/>
    <m/>
  </r>
  <r>
    <s v="ORD-20230052"/>
    <x v="46"/>
    <d v="2023-06-23T00:00:00"/>
    <s v="First Class"/>
    <s v="CUST-009"/>
    <s v="Vikram Nair"/>
    <s v="Home Office"/>
    <s v="Maharashtra"/>
    <x v="2"/>
    <s v="Technology"/>
    <s v="Tablet"/>
    <x v="38"/>
    <n v="7796.32"/>
    <s v="High Sales"/>
    <n v="8"/>
    <n v="0.2"/>
    <n v="994.08"/>
    <m/>
    <m/>
  </r>
  <r>
    <s v="ORD-20230053"/>
    <x v="12"/>
    <d v="2023-02-15T00:00:00"/>
    <s v="Same Day"/>
    <s v="CUST-016"/>
    <s v="Rekha Yadav"/>
    <s v="Consumer"/>
    <s v="Delhi"/>
    <x v="1"/>
    <s v="Office Supplies"/>
    <s v="Paper"/>
    <x v="39"/>
    <n v="29369.81"/>
    <s v="High Sales"/>
    <n v="9"/>
    <n v="0.15"/>
    <n v="5663.32"/>
    <m/>
    <m/>
  </r>
  <r>
    <s v="ORD-20230054"/>
    <x v="47"/>
    <d v="2023-04-28T00:00:00"/>
    <s v="First Class"/>
    <s v="CUST-014"/>
    <s v="Pooja Shah"/>
    <s v="Corporate"/>
    <s v="WB"/>
    <x v="1"/>
    <s v="Office Supplies"/>
    <s v="Notebook"/>
    <x v="11"/>
    <n v="17741.68"/>
    <s v="High Sales"/>
    <n v="10"/>
    <n v="0.1"/>
    <n v="3712.92"/>
    <m/>
    <m/>
  </r>
  <r>
    <s v="ORD-20230055"/>
    <x v="48"/>
    <d v="2023-06-09T00:00:00"/>
    <s v="Second Class"/>
    <s v="CUST-006"/>
    <s v="Anjali Gupta"/>
    <s v="Consumer"/>
    <s v="WB"/>
    <x v="1"/>
    <s v="Furniture"/>
    <s v="Chair"/>
    <x v="14"/>
    <n v="4178.8599999999997"/>
    <s v="High Sales"/>
    <n v="6"/>
    <n v="0.1"/>
    <n v="1401.02"/>
    <m/>
    <m/>
  </r>
  <r>
    <s v="ORD-20230056"/>
    <x v="49"/>
    <d v="2023-11-05T00:00:00"/>
    <s v="First Class"/>
    <s v="CUST-006"/>
    <s v="Anjali Gupta"/>
    <s v="Consumer"/>
    <s v="Karnataka"/>
    <x v="1"/>
    <s v="Office Supplies"/>
    <s v="Binder"/>
    <x v="37"/>
    <n v="8393.23"/>
    <s v="High Sales"/>
    <n v="2"/>
    <n v="0"/>
    <n v="992.46"/>
    <m/>
    <m/>
  </r>
  <r>
    <s v="ORD-20230057"/>
    <x v="4"/>
    <d v="2023-01-25T00:00:00"/>
    <s v="Same Day"/>
    <s v="CUST-016"/>
    <s v="Rekha Yadav"/>
    <s v="Corporate"/>
    <s v="Rajasthan"/>
    <x v="2"/>
    <s v="Office Supplies"/>
    <s v="Stapler"/>
    <x v="19"/>
    <n v="5539.37"/>
    <s v="High Sales"/>
    <n v="8"/>
    <n v="0"/>
    <n v="1230.95"/>
    <m/>
    <m/>
  </r>
  <r>
    <s v="ORD-20230058"/>
    <x v="50"/>
    <d v="2023-01-30T00:00:00"/>
    <s v="Second Class"/>
    <s v="CUST-002"/>
    <s v="Priya Patel"/>
    <s v="Consumer"/>
    <s v="Gujarat"/>
    <x v="0"/>
    <s v="Technology"/>
    <s v="Laptop"/>
    <x v="40"/>
    <n v="16130.42"/>
    <s v="High Sales"/>
    <n v="7"/>
    <n v="0.1"/>
    <n v="3852.49"/>
    <m/>
    <m/>
  </r>
  <r>
    <s v="ORD-20230059"/>
    <x v="16"/>
    <d v="2023-05-09T00:00:00"/>
    <s v="Same Day"/>
    <s v="CUST-013"/>
    <s v="Arun Das"/>
    <s v="Corporate"/>
    <s v="Gujarat"/>
    <x v="3"/>
    <s v="Office Supplies"/>
    <s v="Paper"/>
    <x v="16"/>
    <n v="39955.56"/>
    <s v="High Sales"/>
    <n v="10"/>
    <n v="0"/>
    <n v="11295.76"/>
    <m/>
    <m/>
  </r>
  <r>
    <s v="ORD-20230060"/>
    <x v="48"/>
    <d v="2023-06-11T00:00:00"/>
    <s v="Standard Class"/>
    <s v="CUST-009"/>
    <s v="Vikram Nair"/>
    <s v="Consumer"/>
    <s v="Tamil Nadu"/>
    <x v="2"/>
    <s v="Office Supplies"/>
    <s v="Pen"/>
    <x v="5"/>
    <n v="9496.8700000000008"/>
    <s v="High Sales"/>
    <n v="2"/>
    <n v="0"/>
    <n v="2256.9699999999998"/>
    <m/>
    <m/>
  </r>
  <r>
    <s v="ORD-20230061"/>
    <x v="51"/>
    <d v="2023-10-11T00:00:00"/>
    <s v="First Class"/>
    <s v="CUST-008"/>
    <s v="Neha Mehta"/>
    <s v="Home Office"/>
    <s v="Gujarat"/>
    <x v="3"/>
    <s v="Furniture"/>
    <s v="Chair"/>
    <x v="29"/>
    <n v="26668.26"/>
    <s v="High Sales"/>
    <n v="8"/>
    <n v="0.05"/>
    <n v="3663.63"/>
    <m/>
    <m/>
  </r>
  <r>
    <s v="ORD-20230062"/>
    <x v="14"/>
    <d v="2023-02-12T00:00:00"/>
    <s v="First Class"/>
    <s v="CUST-005"/>
    <s v="Deepak Verma"/>
    <s v="Consumer"/>
    <s v="Delhi"/>
    <x v="0"/>
    <s v="Furniture"/>
    <s v="Bookcase"/>
    <x v="41"/>
    <n v="8066.4"/>
    <s v="High Sales"/>
    <n v="4"/>
    <n v="0.1"/>
    <n v="947.34"/>
    <m/>
    <m/>
  </r>
  <r>
    <s v="ORD-20230063"/>
    <x v="52"/>
    <d v="2023-04-02T00:00:00"/>
    <s v="First Class"/>
    <s v="CUST-013"/>
    <s v="Arun Das"/>
    <s v="Home Office"/>
    <s v="WB"/>
    <x v="3"/>
    <s v="Technology"/>
    <s v="Monitor"/>
    <x v="42"/>
    <n v="10962.7"/>
    <s v="High Sales"/>
    <n v="5"/>
    <n v="0.05"/>
    <n v="2813.07"/>
    <m/>
    <m/>
  </r>
  <r>
    <s v="ORD-20230064"/>
    <x v="53"/>
    <d v="2023-02-16T00:00:00"/>
    <s v="Standard Class"/>
    <s v="CUST-019"/>
    <s v="Nitin Pandey"/>
    <s v="Home Office"/>
    <s v="Gujarat"/>
    <x v="0"/>
    <s v="Furniture"/>
    <s v="Table"/>
    <x v="2"/>
    <n v="14017.66"/>
    <s v="High Sales"/>
    <n v="10"/>
    <n v="0"/>
    <n v="1663.58"/>
    <m/>
    <m/>
  </r>
  <r>
    <s v="ORD-20230065"/>
    <x v="54"/>
    <d v="2023-04-04T00:00:00"/>
    <s v="Standard Class"/>
    <s v="CUST-016"/>
    <s v="Rekha Yadav"/>
    <s v="Corporate"/>
    <s v="Rajasthan"/>
    <x v="3"/>
    <s v="Office Supplies"/>
    <s v="Paper"/>
    <x v="43"/>
    <n v="14208.21"/>
    <s v="High Sales"/>
    <n v="3"/>
    <n v="0.05"/>
    <n v="3416.16"/>
    <m/>
    <m/>
  </r>
  <r>
    <s v="ORD-20230066"/>
    <x v="55"/>
    <d v="2023-06-23T00:00:00"/>
    <s v="Standard Class"/>
    <s v="CUST-013"/>
    <s v="Arun Das"/>
    <s v="Corporate"/>
    <s v="Delhi"/>
    <x v="1"/>
    <s v="Office Supplies"/>
    <s v="Pen"/>
    <x v="44"/>
    <n v="12402.61"/>
    <s v="High Sales"/>
    <n v="6"/>
    <n v="0.05"/>
    <n v="1692.53"/>
    <m/>
    <m/>
  </r>
  <r>
    <s v="ORD-20230067"/>
    <x v="41"/>
    <d v="2023-05-13T00:00:00"/>
    <s v="Second Class"/>
    <s v="CUST-002"/>
    <s v="Priya Patel"/>
    <s v="Home Office"/>
    <s v="Rajasthan"/>
    <x v="3"/>
    <s v="Furniture"/>
    <s v="Table"/>
    <x v="3"/>
    <n v="3021.09"/>
    <s v="Low Sales"/>
    <n v="1"/>
    <n v="0.1"/>
    <n v="569.76"/>
    <m/>
    <m/>
  </r>
  <r>
    <s v="ORD-20230068"/>
    <x v="56"/>
    <d v="2023-11-21T00:00:00"/>
    <s v="Standard Class"/>
    <s v="CUST-016"/>
    <s v="Rekha Yadav"/>
    <s v="Consumer"/>
    <s v="Tamil Nadu"/>
    <x v="2"/>
    <s v="Furniture"/>
    <s v="Desk"/>
    <x v="45"/>
    <n v="7459.77"/>
    <s v="High Sales"/>
    <n v="9"/>
    <n v="0"/>
    <n v="1353.46"/>
    <m/>
    <m/>
  </r>
  <r>
    <s v="ORD-20230069"/>
    <x v="57"/>
    <d v="2023-06-14T00:00:00"/>
    <s v="Standard Class"/>
    <s v="CUST-015"/>
    <s v="Manish Tiwari"/>
    <s v="Home Office"/>
    <s v="Karnataka"/>
    <x v="3"/>
    <s v="Furniture"/>
    <s v="Sofa"/>
    <x v="13"/>
    <n v="2045.7"/>
    <s v="Low Sales"/>
    <n v="2"/>
    <n v="0.2"/>
    <n v="662.56"/>
    <m/>
    <m/>
  </r>
  <r>
    <s v="ORD-20230070"/>
    <x v="58"/>
    <d v="2023-06-04T00:00:00"/>
    <s v="Same Day"/>
    <s v="CUST-005"/>
    <s v="Deepak Verma"/>
    <s v="Consumer"/>
    <s v="Karnataka"/>
    <x v="0"/>
    <s v="Office Supplies"/>
    <s v="Stapler"/>
    <x v="46"/>
    <n v="39241.39"/>
    <s v="High Sales"/>
    <n v="8"/>
    <n v="0"/>
    <n v="7339.55"/>
    <m/>
    <m/>
  </r>
  <r>
    <s v="ORD-20230071"/>
    <x v="59"/>
    <d v="2023-05-29T00:00:00"/>
    <s v="Same Day"/>
    <s v="CUST-019"/>
    <s v="Nitin Pandey"/>
    <s v="Consumer"/>
    <s v="WB"/>
    <x v="3"/>
    <s v="Technology"/>
    <s v="Tablet"/>
    <x v="31"/>
    <n v="20693.189999999999"/>
    <s v="High Sales"/>
    <n v="5"/>
    <n v="0"/>
    <n v="5541.95"/>
    <m/>
    <m/>
  </r>
  <r>
    <s v="ORD-20230072"/>
    <x v="60"/>
    <d v="2023-06-29T00:00:00"/>
    <s v="Same Day"/>
    <s v="CUST-008"/>
    <s v="Neha Mehta"/>
    <s v="Consumer"/>
    <s v="UP"/>
    <x v="0"/>
    <s v="Office Supplies"/>
    <s v="Binder"/>
    <x v="47"/>
    <n v="29937.22"/>
    <s v="High Sales"/>
    <n v="8"/>
    <n v="0.2"/>
    <n v="3191.18"/>
    <m/>
    <m/>
  </r>
  <r>
    <s v="ORD-20230073"/>
    <x v="61"/>
    <d v="2023-06-18T00:00:00"/>
    <s v="First Class"/>
    <s v="CUST-019"/>
    <s v="Nitin Pandey"/>
    <s v="Consumer"/>
    <s v="WB"/>
    <x v="0"/>
    <s v="Technology"/>
    <s v="Printer"/>
    <x v="32"/>
    <n v="7732.73"/>
    <s v="High Sales"/>
    <n v="3"/>
    <n v="0"/>
    <n v="679.5"/>
    <m/>
    <m/>
  </r>
  <r>
    <s v="ORD-20230074"/>
    <x v="62"/>
    <d v="2023-10-01T00:00:00"/>
    <s v="Same Day"/>
    <s v="CUST-011"/>
    <s v="Suresh Rao"/>
    <s v="Home Office"/>
    <s v="Delhi"/>
    <x v="1"/>
    <s v="Furniture"/>
    <s v="Desk"/>
    <x v="48"/>
    <n v="1342.02"/>
    <s v="Low Sales"/>
    <n v="3"/>
    <n v="0.2"/>
    <n v="457.31"/>
    <m/>
    <m/>
  </r>
  <r>
    <s v="ORD-20230075"/>
    <x v="63"/>
    <d v="2023-12-19T00:00:00"/>
    <s v="First Class"/>
    <s v="CUST-008"/>
    <s v="Neha Mehta"/>
    <s v="Consumer"/>
    <s v="Delhi"/>
    <x v="3"/>
    <s v="Office Supplies"/>
    <s v="Paper"/>
    <x v="43"/>
    <n v="35099.51"/>
    <s v="High Sales"/>
    <n v="8"/>
    <n v="0"/>
    <n v="8256.7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21B82-0BD2-4E3B-B47F-1881754F74C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s">
  <location ref="A3:D197" firstHeaderRow="0" firstDataRow="1" firstDataCol="1"/>
  <pivotFields count="21">
    <pivotField showAll="0"/>
    <pivotField axis="axisRow" numFmtId="164" showAll="0">
      <items count="65">
        <item x="10"/>
        <item x="2"/>
        <item x="42"/>
        <item x="30"/>
        <item x="1"/>
        <item x="4"/>
        <item x="37"/>
        <item x="50"/>
        <item x="6"/>
        <item x="19"/>
        <item x="13"/>
        <item x="14"/>
        <item x="53"/>
        <item x="12"/>
        <item x="25"/>
        <item x="38"/>
        <item x="43"/>
        <item x="52"/>
        <item x="54"/>
        <item x="15"/>
        <item x="24"/>
        <item x="8"/>
        <item x="47"/>
        <item x="35"/>
        <item x="21"/>
        <item x="16"/>
        <item x="41"/>
        <item x="59"/>
        <item x="58"/>
        <item x="48"/>
        <item x="57"/>
        <item x="61"/>
        <item x="55"/>
        <item x="46"/>
        <item x="60"/>
        <item x="29"/>
        <item x="27"/>
        <item x="18"/>
        <item x="20"/>
        <item x="28"/>
        <item x="44"/>
        <item x="39"/>
        <item x="34"/>
        <item x="45"/>
        <item x="40"/>
        <item x="62"/>
        <item x="9"/>
        <item x="22"/>
        <item x="11"/>
        <item x="51"/>
        <item x="31"/>
        <item x="26"/>
        <item x="49"/>
        <item x="3"/>
        <item x="32"/>
        <item x="56"/>
        <item x="0"/>
        <item x="7"/>
        <item x="17"/>
        <item x="23"/>
        <item x="5"/>
        <item x="63"/>
        <item x="33"/>
        <item x="36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axis="axisRow" showAll="0">
      <items count="50">
        <item x="47"/>
        <item x="37"/>
        <item x="6"/>
        <item x="41"/>
        <item x="0"/>
        <item x="4"/>
        <item x="29"/>
        <item x="14"/>
        <item x="48"/>
        <item x="1"/>
        <item x="34"/>
        <item x="45"/>
        <item x="23"/>
        <item x="25"/>
        <item x="10"/>
        <item x="40"/>
        <item x="42"/>
        <item x="36"/>
        <item x="17"/>
        <item x="11"/>
        <item x="39"/>
        <item x="16"/>
        <item x="43"/>
        <item x="7"/>
        <item x="5"/>
        <item x="44"/>
        <item x="26"/>
        <item x="8"/>
        <item x="21"/>
        <item x="24"/>
        <item x="27"/>
        <item x="18"/>
        <item x="32"/>
        <item x="28"/>
        <item x="30"/>
        <item x="13"/>
        <item x="12"/>
        <item x="35"/>
        <item x="46"/>
        <item x="9"/>
        <item x="19"/>
        <item x="20"/>
        <item x="3"/>
        <item x="22"/>
        <item x="2"/>
        <item x="33"/>
        <item x="15"/>
        <item x="31"/>
        <item x="38"/>
        <item t="default"/>
      </items>
    </pivotField>
    <pivotField dataField="1" numFmtId="165" showAll="0"/>
    <pivotField showAll="0"/>
    <pivotField showAll="0"/>
    <pivotField numFmtId="9" showAll="0"/>
    <pivotField numFmtId="165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1"/>
    <field x="8"/>
    <field x="20"/>
    <field x="1"/>
  </rowFields>
  <rowItems count="194">
    <i>
      <x/>
    </i>
    <i r="1">
      <x v="1"/>
    </i>
    <i r="2">
      <x v="6"/>
    </i>
    <i>
      <x v="1"/>
    </i>
    <i r="1">
      <x/>
    </i>
    <i r="2">
      <x v="10"/>
    </i>
    <i r="1">
      <x v="3"/>
    </i>
    <i r="2">
      <x v="8"/>
    </i>
    <i>
      <x v="2"/>
    </i>
    <i r="1">
      <x v="3"/>
    </i>
    <i r="2">
      <x v="1"/>
    </i>
    <i r="2">
      <x v="2"/>
    </i>
    <i>
      <x v="3"/>
    </i>
    <i r="1">
      <x v="1"/>
    </i>
    <i r="2">
      <x v="2"/>
    </i>
    <i>
      <x v="4"/>
    </i>
    <i r="1">
      <x/>
    </i>
    <i r="2">
      <x v="11"/>
    </i>
    <i r="1">
      <x v="1"/>
    </i>
    <i r="2">
      <x v="11"/>
    </i>
    <i>
      <x v="5"/>
    </i>
    <i r="1">
      <x v="2"/>
    </i>
    <i r="2">
      <x v="1"/>
    </i>
    <i>
      <x v="6"/>
    </i>
    <i r="1">
      <x v="3"/>
    </i>
    <i r="2">
      <x v="1"/>
    </i>
    <i r="2">
      <x v="10"/>
    </i>
    <i>
      <x v="7"/>
    </i>
    <i r="1">
      <x/>
    </i>
    <i r="2">
      <x v="6"/>
    </i>
    <i r="1">
      <x v="1"/>
    </i>
    <i r="2">
      <x v="11"/>
    </i>
    <i>
      <x v="8"/>
    </i>
    <i r="1">
      <x/>
    </i>
    <i r="2">
      <x v="9"/>
    </i>
    <i>
      <x v="9"/>
    </i>
    <i r="1">
      <x/>
    </i>
    <i r="2">
      <x v="1"/>
    </i>
    <i>
      <x v="10"/>
    </i>
    <i r="1">
      <x v="1"/>
    </i>
    <i r="2">
      <x v="1"/>
    </i>
    <i>
      <x v="11"/>
    </i>
    <i r="1">
      <x v="2"/>
    </i>
    <i r="2">
      <x v="11"/>
    </i>
    <i>
      <x v="12"/>
    </i>
    <i r="1">
      <x/>
    </i>
    <i r="2">
      <x v="6"/>
    </i>
    <i>
      <x v="13"/>
    </i>
    <i r="1">
      <x/>
    </i>
    <i r="2">
      <x v="10"/>
    </i>
    <i r="1">
      <x v="3"/>
    </i>
    <i r="2">
      <x v="8"/>
    </i>
    <i>
      <x v="14"/>
    </i>
    <i r="1">
      <x v="2"/>
    </i>
    <i r="2">
      <x v="2"/>
    </i>
    <i>
      <x v="15"/>
    </i>
    <i r="1">
      <x v="1"/>
    </i>
    <i r="2">
      <x v="1"/>
    </i>
    <i>
      <x v="16"/>
    </i>
    <i r="1">
      <x v="3"/>
    </i>
    <i r="2">
      <x v="3"/>
    </i>
    <i>
      <x v="17"/>
    </i>
    <i r="1">
      <x v="1"/>
    </i>
    <i r="2">
      <x v="12"/>
    </i>
    <i>
      <x v="18"/>
    </i>
    <i r="1">
      <x/>
    </i>
    <i r="2">
      <x v="7"/>
    </i>
    <i r="1">
      <x v="1"/>
    </i>
    <i r="2">
      <x v="8"/>
    </i>
    <i>
      <x v="19"/>
    </i>
    <i r="1">
      <x/>
    </i>
    <i r="2">
      <x v="4"/>
    </i>
    <i r="1">
      <x v="2"/>
    </i>
    <i r="2">
      <x v="10"/>
    </i>
    <i r="1">
      <x v="3"/>
    </i>
    <i r="2">
      <x v="7"/>
    </i>
    <i>
      <x v="20"/>
    </i>
    <i r="1">
      <x/>
    </i>
    <i r="2">
      <x v="2"/>
    </i>
    <i>
      <x v="21"/>
    </i>
    <i r="1">
      <x/>
    </i>
    <i r="2">
      <x v="7"/>
    </i>
    <i r="1">
      <x v="2"/>
    </i>
    <i r="2">
      <x v="1"/>
    </i>
    <i r="1">
      <x v="3"/>
    </i>
    <i r="2">
      <x v="5"/>
    </i>
    <i>
      <x v="22"/>
    </i>
    <i r="1">
      <x v="3"/>
    </i>
    <i r="2">
      <x v="3"/>
    </i>
    <i r="2">
      <x v="12"/>
    </i>
    <i>
      <x v="23"/>
    </i>
    <i r="1">
      <x v="3"/>
    </i>
    <i r="2">
      <x v="4"/>
    </i>
    <i>
      <x v="24"/>
    </i>
    <i r="1">
      <x/>
    </i>
    <i r="2">
      <x v="12"/>
    </i>
    <i r="1">
      <x v="1"/>
    </i>
    <i r="2">
      <x v="10"/>
    </i>
    <i r="1">
      <x v="2"/>
    </i>
    <i r="2">
      <x v="6"/>
    </i>
    <i>
      <x v="25"/>
    </i>
    <i r="1">
      <x/>
    </i>
    <i r="2">
      <x v="6"/>
    </i>
    <i>
      <x v="26"/>
    </i>
    <i r="1">
      <x v="3"/>
    </i>
    <i r="2">
      <x v="11"/>
    </i>
    <i>
      <x v="27"/>
    </i>
    <i r="1">
      <x v="3"/>
    </i>
    <i r="2">
      <x v="9"/>
    </i>
    <i>
      <x v="28"/>
    </i>
    <i r="1">
      <x/>
    </i>
    <i r="2">
      <x v="3"/>
    </i>
    <i>
      <x v="29"/>
    </i>
    <i r="1">
      <x v="3"/>
    </i>
    <i r="2">
      <x v="1"/>
    </i>
    <i>
      <x v="30"/>
    </i>
    <i r="1">
      <x v="2"/>
    </i>
    <i r="2">
      <x v="5"/>
    </i>
    <i>
      <x v="31"/>
    </i>
    <i r="1">
      <x v="1"/>
    </i>
    <i r="2">
      <x v="5"/>
    </i>
    <i>
      <x v="32"/>
    </i>
    <i r="1">
      <x v="1"/>
    </i>
    <i r="2">
      <x v="6"/>
    </i>
    <i r="1">
      <x v="3"/>
    </i>
    <i r="2">
      <x v="1"/>
    </i>
    <i>
      <x v="33"/>
    </i>
    <i r="1">
      <x v="3"/>
    </i>
    <i r="2">
      <x v="12"/>
    </i>
    <i>
      <x v="34"/>
    </i>
    <i r="1">
      <x/>
    </i>
    <i r="2">
      <x v="3"/>
    </i>
    <i>
      <x v="35"/>
    </i>
    <i r="1">
      <x v="1"/>
    </i>
    <i r="2">
      <x v="5"/>
    </i>
    <i r="1">
      <x v="3"/>
    </i>
    <i r="2">
      <x v="6"/>
    </i>
    <i>
      <x v="36"/>
    </i>
    <i r="1">
      <x/>
    </i>
    <i r="2">
      <x v="2"/>
    </i>
    <i r="1">
      <x v="3"/>
    </i>
    <i r="2">
      <x v="12"/>
    </i>
    <i>
      <x v="37"/>
    </i>
    <i r="1">
      <x v="1"/>
    </i>
    <i r="2">
      <x v="3"/>
    </i>
    <i>
      <x v="38"/>
    </i>
    <i r="1">
      <x v="1"/>
    </i>
    <i r="2">
      <x v="5"/>
    </i>
    <i>
      <x v="39"/>
    </i>
    <i r="1">
      <x/>
    </i>
    <i r="2">
      <x v="4"/>
    </i>
    <i r="1">
      <x v="2"/>
    </i>
    <i r="2">
      <x v="1"/>
    </i>
    <i>
      <x v="40"/>
    </i>
    <i r="1">
      <x v="1"/>
    </i>
    <i r="2">
      <x v="10"/>
    </i>
    <i r="1">
      <x v="2"/>
    </i>
    <i r="2">
      <x v="1"/>
    </i>
    <i r="2">
      <x v="8"/>
    </i>
    <i>
      <x v="41"/>
    </i>
    <i r="1">
      <x/>
    </i>
    <i r="2">
      <x v="12"/>
    </i>
    <i>
      <x v="42"/>
    </i>
    <i r="1">
      <x v="1"/>
    </i>
    <i r="2">
      <x v="11"/>
    </i>
    <i r="1">
      <x v="3"/>
    </i>
    <i r="2">
      <x v="5"/>
    </i>
    <i>
      <x v="43"/>
    </i>
    <i r="1">
      <x v="1"/>
    </i>
    <i r="2">
      <x v="10"/>
    </i>
    <i r="1">
      <x v="3"/>
    </i>
    <i r="2">
      <x v="11"/>
    </i>
    <i>
      <x v="44"/>
    </i>
    <i r="1">
      <x/>
    </i>
    <i r="2">
      <x v="1"/>
    </i>
    <i r="1">
      <x v="1"/>
    </i>
    <i r="2">
      <x v="2"/>
    </i>
    <i r="2">
      <x v="4"/>
    </i>
    <i>
      <x v="45"/>
    </i>
    <i r="1">
      <x v="2"/>
    </i>
    <i r="2">
      <x v="5"/>
    </i>
    <i>
      <x v="46"/>
    </i>
    <i r="1">
      <x/>
    </i>
    <i r="2">
      <x v="7"/>
    </i>
    <i r="1">
      <x v="1"/>
    </i>
    <i r="2">
      <x v="9"/>
    </i>
    <i>
      <x v="47"/>
    </i>
    <i r="1">
      <x v="3"/>
    </i>
    <i r="2">
      <x v="2"/>
    </i>
    <i r="2">
      <x v="5"/>
    </i>
    <i>
      <x v="48"/>
    </i>
    <i r="1">
      <x v="2"/>
    </i>
    <i r="2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11" baseItem="0" numFmtId="165"/>
    <dataField name="Count of Sales" fld="12" subtotal="count" baseField="11" baseItem="0"/>
    <dataField name="Max. of Sales" fld="12" subtotal="max" baseField="11" baseItem="0" numFmtId="165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E3D3-648B-4AAA-AA1B-DA5698121EEA}">
  <dimension ref="A3:D197"/>
  <sheetViews>
    <sheetView workbookViewId="0">
      <selection activeCell="M153" sqref="M153"/>
    </sheetView>
  </sheetViews>
  <sheetFormatPr defaultRowHeight="14.35" x14ac:dyDescent="0.5"/>
  <cols>
    <col min="1" max="1" width="14.87890625" bestFit="1" customWidth="1"/>
    <col min="2" max="2" width="12.3515625" bestFit="1" customWidth="1"/>
    <col min="3" max="3" width="12.17578125" bestFit="1" customWidth="1"/>
    <col min="4" max="4" width="12.41015625" bestFit="1" customWidth="1"/>
  </cols>
  <sheetData>
    <row r="3" spans="1:4" x14ac:dyDescent="0.5">
      <c r="A3" s="18" t="s">
        <v>229</v>
      </c>
      <c r="B3" t="s">
        <v>228</v>
      </c>
      <c r="C3" t="s">
        <v>242</v>
      </c>
      <c r="D3" t="s">
        <v>243</v>
      </c>
    </row>
    <row r="4" spans="1:4" x14ac:dyDescent="0.5">
      <c r="A4" s="19" t="s">
        <v>212</v>
      </c>
      <c r="B4" s="17">
        <v>29937.22</v>
      </c>
      <c r="C4">
        <v>1</v>
      </c>
      <c r="D4" s="17">
        <v>29937.22</v>
      </c>
    </row>
    <row r="5" spans="1:4" x14ac:dyDescent="0.5">
      <c r="A5" s="20" t="s">
        <v>22</v>
      </c>
      <c r="B5" s="17">
        <v>29937.22</v>
      </c>
      <c r="C5">
        <v>1</v>
      </c>
      <c r="D5" s="17">
        <v>29937.22</v>
      </c>
    </row>
    <row r="6" spans="1:4" x14ac:dyDescent="0.5">
      <c r="A6" s="21" t="s">
        <v>230</v>
      </c>
      <c r="B6" s="17">
        <v>29937.22</v>
      </c>
      <c r="C6">
        <v>1</v>
      </c>
      <c r="D6" s="17">
        <v>29937.22</v>
      </c>
    </row>
    <row r="7" spans="1:4" x14ac:dyDescent="0.5">
      <c r="A7" s="19" t="s">
        <v>179</v>
      </c>
      <c r="B7" s="17">
        <v>28976.7</v>
      </c>
      <c r="C7">
        <v>2</v>
      </c>
      <c r="D7" s="17">
        <v>20583.47</v>
      </c>
    </row>
    <row r="8" spans="1:4" x14ac:dyDescent="0.5">
      <c r="A8" s="20" t="s">
        <v>30</v>
      </c>
      <c r="B8" s="17">
        <v>8393.23</v>
      </c>
      <c r="C8">
        <v>1</v>
      </c>
      <c r="D8" s="17">
        <v>8393.23</v>
      </c>
    </row>
    <row r="9" spans="1:4" x14ac:dyDescent="0.5">
      <c r="A9" s="21" t="s">
        <v>231</v>
      </c>
      <c r="B9" s="17">
        <v>8393.23</v>
      </c>
      <c r="C9">
        <v>1</v>
      </c>
      <c r="D9" s="17">
        <v>8393.23</v>
      </c>
    </row>
    <row r="10" spans="1:4" x14ac:dyDescent="0.5">
      <c r="A10" s="20" t="s">
        <v>61</v>
      </c>
      <c r="B10" s="17">
        <v>20583.47</v>
      </c>
      <c r="C10">
        <v>1</v>
      </c>
      <c r="D10" s="17">
        <v>20583.47</v>
      </c>
    </row>
    <row r="11" spans="1:4" x14ac:dyDescent="0.5">
      <c r="A11" s="21" t="s">
        <v>232</v>
      </c>
      <c r="B11" s="17">
        <v>20583.47</v>
      </c>
      <c r="C11">
        <v>1</v>
      </c>
      <c r="D11" s="17">
        <v>20583.47</v>
      </c>
    </row>
    <row r="12" spans="1:4" x14ac:dyDescent="0.5">
      <c r="A12" s="19" t="s">
        <v>62</v>
      </c>
      <c r="B12" s="17">
        <v>11809.97</v>
      </c>
      <c r="C12">
        <v>2</v>
      </c>
      <c r="D12" s="17">
        <v>9480.2999999999993</v>
      </c>
    </row>
    <row r="13" spans="1:4" x14ac:dyDescent="0.5">
      <c r="A13" s="20" t="s">
        <v>61</v>
      </c>
      <c r="B13" s="17">
        <v>11809.97</v>
      </c>
      <c r="C13">
        <v>2</v>
      </c>
      <c r="D13" s="17">
        <v>9480.2999999999993</v>
      </c>
    </row>
    <row r="14" spans="1:4" x14ac:dyDescent="0.5">
      <c r="A14" s="21" t="s">
        <v>233</v>
      </c>
      <c r="B14" s="17">
        <v>2329.67</v>
      </c>
      <c r="C14">
        <v>1</v>
      </c>
      <c r="D14" s="17">
        <v>2329.67</v>
      </c>
    </row>
    <row r="15" spans="1:4" x14ac:dyDescent="0.5">
      <c r="A15" s="21" t="s">
        <v>234</v>
      </c>
      <c r="B15" s="17">
        <v>9480.2999999999993</v>
      </c>
      <c r="C15">
        <v>1</v>
      </c>
      <c r="D15" s="17">
        <v>9480.2999999999993</v>
      </c>
    </row>
    <row r="16" spans="1:4" x14ac:dyDescent="0.5">
      <c r="A16" s="19" t="s">
        <v>196</v>
      </c>
      <c r="B16" s="17">
        <v>8066.4</v>
      </c>
      <c r="C16">
        <v>1</v>
      </c>
      <c r="D16" s="17">
        <v>8066.4</v>
      </c>
    </row>
    <row r="17" spans="1:4" x14ac:dyDescent="0.5">
      <c r="A17" s="20" t="s">
        <v>22</v>
      </c>
      <c r="B17" s="17">
        <v>8066.4</v>
      </c>
      <c r="C17">
        <v>1</v>
      </c>
      <c r="D17" s="17">
        <v>8066.4</v>
      </c>
    </row>
    <row r="18" spans="1:4" x14ac:dyDescent="0.5">
      <c r="A18" s="21" t="s">
        <v>234</v>
      </c>
      <c r="B18" s="17">
        <v>8066.4</v>
      </c>
      <c r="C18">
        <v>1</v>
      </c>
      <c r="D18" s="17">
        <v>8066.4</v>
      </c>
    </row>
    <row r="19" spans="1:4" x14ac:dyDescent="0.5">
      <c r="A19" s="19" t="s">
        <v>25</v>
      </c>
      <c r="B19" s="17">
        <v>17072.54</v>
      </c>
      <c r="C19">
        <v>2</v>
      </c>
      <c r="D19" s="17">
        <v>13593.41</v>
      </c>
    </row>
    <row r="20" spans="1:4" x14ac:dyDescent="0.5">
      <c r="A20" s="20" t="s">
        <v>30</v>
      </c>
      <c r="B20" s="17">
        <v>13593.41</v>
      </c>
      <c r="C20">
        <v>1</v>
      </c>
      <c r="D20" s="17">
        <v>13593.41</v>
      </c>
    </row>
    <row r="21" spans="1:4" x14ac:dyDescent="0.5">
      <c r="A21" s="21" t="s">
        <v>235</v>
      </c>
      <c r="B21" s="17">
        <v>13593.41</v>
      </c>
      <c r="C21">
        <v>1</v>
      </c>
      <c r="D21" s="17">
        <v>13593.41</v>
      </c>
    </row>
    <row r="22" spans="1:4" x14ac:dyDescent="0.5">
      <c r="A22" s="20" t="s">
        <v>22</v>
      </c>
      <c r="B22" s="17">
        <v>3479.13</v>
      </c>
      <c r="C22">
        <v>1</v>
      </c>
      <c r="D22" s="17">
        <v>3479.13</v>
      </c>
    </row>
    <row r="23" spans="1:4" x14ac:dyDescent="0.5">
      <c r="A23" s="21" t="s">
        <v>235</v>
      </c>
      <c r="B23" s="17">
        <v>3479.13</v>
      </c>
      <c r="C23">
        <v>1</v>
      </c>
      <c r="D23" s="17">
        <v>3479.13</v>
      </c>
    </row>
    <row r="24" spans="1:4" x14ac:dyDescent="0.5">
      <c r="A24" s="19" t="s">
        <v>51</v>
      </c>
      <c r="B24" s="17">
        <v>16564.66</v>
      </c>
      <c r="C24">
        <v>1</v>
      </c>
      <c r="D24" s="17">
        <v>16564.66</v>
      </c>
    </row>
    <row r="25" spans="1:4" x14ac:dyDescent="0.5">
      <c r="A25" s="20" t="s">
        <v>50</v>
      </c>
      <c r="B25" s="17">
        <v>16564.66</v>
      </c>
      <c r="C25">
        <v>1</v>
      </c>
      <c r="D25" s="17">
        <v>16564.66</v>
      </c>
    </row>
    <row r="26" spans="1:4" x14ac:dyDescent="0.5">
      <c r="A26" s="21" t="s">
        <v>233</v>
      </c>
      <c r="B26" s="17">
        <v>16564.66</v>
      </c>
      <c r="C26">
        <v>1</v>
      </c>
      <c r="D26" s="17">
        <v>16564.66</v>
      </c>
    </row>
    <row r="27" spans="1:4" x14ac:dyDescent="0.5">
      <c r="A27" s="19" t="s">
        <v>153</v>
      </c>
      <c r="B27" s="17">
        <v>36987.599999999999</v>
      </c>
      <c r="C27">
        <v>2</v>
      </c>
      <c r="D27" s="17">
        <v>26668.26</v>
      </c>
    </row>
    <row r="28" spans="1:4" x14ac:dyDescent="0.5">
      <c r="A28" s="20" t="s">
        <v>61</v>
      </c>
      <c r="B28" s="17">
        <v>36987.599999999999</v>
      </c>
      <c r="C28">
        <v>2</v>
      </c>
      <c r="D28" s="17">
        <v>26668.26</v>
      </c>
    </row>
    <row r="29" spans="1:4" x14ac:dyDescent="0.5">
      <c r="A29" s="21" t="s">
        <v>233</v>
      </c>
      <c r="B29" s="17">
        <v>10319.34</v>
      </c>
      <c r="C29">
        <v>1</v>
      </c>
      <c r="D29" s="17">
        <v>10319.34</v>
      </c>
    </row>
    <row r="30" spans="1:4" x14ac:dyDescent="0.5">
      <c r="A30" s="21" t="s">
        <v>231</v>
      </c>
      <c r="B30" s="17">
        <v>26668.26</v>
      </c>
      <c r="C30">
        <v>1</v>
      </c>
      <c r="D30" s="17">
        <v>26668.26</v>
      </c>
    </row>
    <row r="31" spans="1:4" x14ac:dyDescent="0.5">
      <c r="A31" s="19" t="s">
        <v>104</v>
      </c>
      <c r="B31" s="17">
        <v>10308.599999999999</v>
      </c>
      <c r="C31">
        <v>2</v>
      </c>
      <c r="D31" s="17">
        <v>6129.74</v>
      </c>
    </row>
    <row r="32" spans="1:4" x14ac:dyDescent="0.5">
      <c r="A32" s="20" t="s">
        <v>30</v>
      </c>
      <c r="B32" s="17">
        <v>4178.8599999999997</v>
      </c>
      <c r="C32">
        <v>1</v>
      </c>
      <c r="D32" s="17">
        <v>4178.8599999999997</v>
      </c>
    </row>
    <row r="33" spans="1:4" x14ac:dyDescent="0.5">
      <c r="A33" s="21" t="s">
        <v>230</v>
      </c>
      <c r="B33" s="17">
        <v>4178.8599999999997</v>
      </c>
      <c r="C33">
        <v>1</v>
      </c>
      <c r="D33" s="17">
        <v>4178.8599999999997</v>
      </c>
    </row>
    <row r="34" spans="1:4" x14ac:dyDescent="0.5">
      <c r="A34" s="20" t="s">
        <v>22</v>
      </c>
      <c r="B34" s="17">
        <v>6129.74</v>
      </c>
      <c r="C34">
        <v>1</v>
      </c>
      <c r="D34" s="17">
        <v>6129.74</v>
      </c>
    </row>
    <row r="35" spans="1:4" x14ac:dyDescent="0.5">
      <c r="A35" s="21" t="s">
        <v>235</v>
      </c>
      <c r="B35" s="17">
        <v>6129.74</v>
      </c>
      <c r="C35">
        <v>1</v>
      </c>
      <c r="D35" s="17">
        <v>6129.74</v>
      </c>
    </row>
    <row r="36" spans="1:4" x14ac:dyDescent="0.5">
      <c r="A36" s="19" t="s">
        <v>215</v>
      </c>
      <c r="B36" s="17">
        <v>1342.02</v>
      </c>
      <c r="C36">
        <v>1</v>
      </c>
      <c r="D36" s="17">
        <v>1342.02</v>
      </c>
    </row>
    <row r="37" spans="1:4" x14ac:dyDescent="0.5">
      <c r="A37" s="20" t="s">
        <v>30</v>
      </c>
      <c r="B37" s="17">
        <v>1342.02</v>
      </c>
      <c r="C37">
        <v>1</v>
      </c>
      <c r="D37" s="17">
        <v>1342.02</v>
      </c>
    </row>
    <row r="38" spans="1:4" x14ac:dyDescent="0.5">
      <c r="A38" s="21" t="s">
        <v>236</v>
      </c>
      <c r="B38" s="17">
        <v>1342.02</v>
      </c>
      <c r="C38">
        <v>1</v>
      </c>
      <c r="D38" s="17">
        <v>1342.02</v>
      </c>
    </row>
    <row r="39" spans="1:4" x14ac:dyDescent="0.5">
      <c r="A39" s="19" t="s">
        <v>32</v>
      </c>
      <c r="B39" s="17">
        <v>3273.73</v>
      </c>
      <c r="C39">
        <v>1</v>
      </c>
      <c r="D39" s="17">
        <v>3273.73</v>
      </c>
    </row>
    <row r="40" spans="1:4" x14ac:dyDescent="0.5">
      <c r="A40" s="20" t="s">
        <v>30</v>
      </c>
      <c r="B40" s="17">
        <v>3273.73</v>
      </c>
      <c r="C40">
        <v>1</v>
      </c>
      <c r="D40" s="17">
        <v>3273.73</v>
      </c>
    </row>
    <row r="41" spans="1:4" x14ac:dyDescent="0.5">
      <c r="A41" s="21" t="s">
        <v>233</v>
      </c>
      <c r="B41" s="17">
        <v>3273.73</v>
      </c>
      <c r="C41">
        <v>1</v>
      </c>
      <c r="D41" s="17">
        <v>3273.73</v>
      </c>
    </row>
    <row r="42" spans="1:4" x14ac:dyDescent="0.5">
      <c r="A42" s="19" t="s">
        <v>170</v>
      </c>
      <c r="B42" s="17">
        <v>24576.5</v>
      </c>
      <c r="C42">
        <v>1</v>
      </c>
      <c r="D42" s="17">
        <v>24576.5</v>
      </c>
    </row>
    <row r="43" spans="1:4" x14ac:dyDescent="0.5">
      <c r="A43" s="20" t="s">
        <v>22</v>
      </c>
      <c r="B43" s="17">
        <v>24576.5</v>
      </c>
      <c r="C43">
        <v>1</v>
      </c>
      <c r="D43" s="17">
        <v>24576.5</v>
      </c>
    </row>
    <row r="44" spans="1:4" x14ac:dyDescent="0.5">
      <c r="A44" s="21" t="s">
        <v>233</v>
      </c>
      <c r="B44" s="17">
        <v>24576.5</v>
      </c>
      <c r="C44">
        <v>1</v>
      </c>
      <c r="D44" s="17">
        <v>24576.5</v>
      </c>
    </row>
    <row r="45" spans="1:4" x14ac:dyDescent="0.5">
      <c r="A45" s="19" t="s">
        <v>206</v>
      </c>
      <c r="B45" s="17">
        <v>7459.77</v>
      </c>
      <c r="C45">
        <v>1</v>
      </c>
      <c r="D45" s="17">
        <v>7459.77</v>
      </c>
    </row>
    <row r="46" spans="1:4" x14ac:dyDescent="0.5">
      <c r="A46" s="20" t="s">
        <v>50</v>
      </c>
      <c r="B46" s="17">
        <v>7459.77</v>
      </c>
      <c r="C46">
        <v>1</v>
      </c>
      <c r="D46" s="17">
        <v>7459.77</v>
      </c>
    </row>
    <row r="47" spans="1:4" x14ac:dyDescent="0.5">
      <c r="A47" s="21" t="s">
        <v>235</v>
      </c>
      <c r="B47" s="17">
        <v>7459.77</v>
      </c>
      <c r="C47">
        <v>1</v>
      </c>
      <c r="D47" s="17">
        <v>7459.77</v>
      </c>
    </row>
    <row r="48" spans="1:4" x14ac:dyDescent="0.5">
      <c r="A48" s="19" t="s">
        <v>134</v>
      </c>
      <c r="B48" s="17">
        <v>8450.5499999999993</v>
      </c>
      <c r="C48">
        <v>1</v>
      </c>
      <c r="D48" s="17">
        <v>8450.5499999999993</v>
      </c>
    </row>
    <row r="49" spans="1:4" x14ac:dyDescent="0.5">
      <c r="A49" s="20" t="s">
        <v>30</v>
      </c>
      <c r="B49" s="17">
        <v>8450.5499999999993</v>
      </c>
      <c r="C49">
        <v>1</v>
      </c>
      <c r="D49" s="17">
        <v>8450.5499999999993</v>
      </c>
    </row>
    <row r="50" spans="1:4" x14ac:dyDescent="0.5">
      <c r="A50" s="21" t="s">
        <v>230</v>
      </c>
      <c r="B50" s="17">
        <v>8450.5499999999993</v>
      </c>
      <c r="C50">
        <v>1</v>
      </c>
      <c r="D50" s="17">
        <v>8450.5499999999993</v>
      </c>
    </row>
    <row r="51" spans="1:4" x14ac:dyDescent="0.5">
      <c r="A51" s="19" t="s">
        <v>140</v>
      </c>
      <c r="B51" s="17">
        <v>17760.37</v>
      </c>
      <c r="C51">
        <v>2</v>
      </c>
      <c r="D51" s="17">
        <v>15603.88</v>
      </c>
    </row>
    <row r="52" spans="1:4" x14ac:dyDescent="0.5">
      <c r="A52" s="20" t="s">
        <v>30</v>
      </c>
      <c r="B52" s="17">
        <v>2156.4899999999998</v>
      </c>
      <c r="C52">
        <v>1</v>
      </c>
      <c r="D52" s="17">
        <v>2156.4899999999998</v>
      </c>
    </row>
    <row r="53" spans="1:4" x14ac:dyDescent="0.5">
      <c r="A53" s="21" t="s">
        <v>231</v>
      </c>
      <c r="B53" s="17">
        <v>2156.4899999999998</v>
      </c>
      <c r="C53">
        <v>1</v>
      </c>
      <c r="D53" s="17">
        <v>2156.4899999999998</v>
      </c>
    </row>
    <row r="54" spans="1:4" x14ac:dyDescent="0.5">
      <c r="A54" s="20" t="s">
        <v>61</v>
      </c>
      <c r="B54" s="17">
        <v>15603.88</v>
      </c>
      <c r="C54">
        <v>1</v>
      </c>
      <c r="D54" s="17">
        <v>15603.88</v>
      </c>
    </row>
    <row r="55" spans="1:4" x14ac:dyDescent="0.5">
      <c r="A55" s="21" t="s">
        <v>232</v>
      </c>
      <c r="B55" s="17">
        <v>15603.88</v>
      </c>
      <c r="C55">
        <v>1</v>
      </c>
      <c r="D55" s="17">
        <v>15603.88</v>
      </c>
    </row>
    <row r="56" spans="1:4" x14ac:dyDescent="0.5">
      <c r="A56" s="19" t="s">
        <v>85</v>
      </c>
      <c r="B56" s="17">
        <v>2326.4</v>
      </c>
      <c r="C56">
        <v>1</v>
      </c>
      <c r="D56" s="17">
        <v>2326.4</v>
      </c>
    </row>
    <row r="57" spans="1:4" x14ac:dyDescent="0.5">
      <c r="A57" s="20" t="s">
        <v>50</v>
      </c>
      <c r="B57" s="17">
        <v>2326.4</v>
      </c>
      <c r="C57">
        <v>1</v>
      </c>
      <c r="D57" s="17">
        <v>2326.4</v>
      </c>
    </row>
    <row r="58" spans="1:4" x14ac:dyDescent="0.5">
      <c r="A58" s="21" t="s">
        <v>234</v>
      </c>
      <c r="B58" s="17">
        <v>2326.4</v>
      </c>
      <c r="C58">
        <v>1</v>
      </c>
      <c r="D58" s="17">
        <v>2326.4</v>
      </c>
    </row>
    <row r="59" spans="1:4" x14ac:dyDescent="0.5">
      <c r="A59" s="19" t="s">
        <v>191</v>
      </c>
      <c r="B59" s="17">
        <v>16130.42</v>
      </c>
      <c r="C59">
        <v>1</v>
      </c>
      <c r="D59" s="17">
        <v>16130.42</v>
      </c>
    </row>
    <row r="60" spans="1:4" x14ac:dyDescent="0.5">
      <c r="A60" s="20" t="s">
        <v>22</v>
      </c>
      <c r="B60" s="17">
        <v>16130.42</v>
      </c>
      <c r="C60">
        <v>1</v>
      </c>
      <c r="D60" s="17">
        <v>16130.42</v>
      </c>
    </row>
    <row r="61" spans="1:4" x14ac:dyDescent="0.5">
      <c r="A61" s="21" t="s">
        <v>233</v>
      </c>
      <c r="B61" s="17">
        <v>16130.42</v>
      </c>
      <c r="C61">
        <v>1</v>
      </c>
      <c r="D61" s="17">
        <v>16130.42</v>
      </c>
    </row>
    <row r="62" spans="1:4" x14ac:dyDescent="0.5">
      <c r="A62" s="19" t="s">
        <v>198</v>
      </c>
      <c r="B62" s="17">
        <v>10962.7</v>
      </c>
      <c r="C62">
        <v>1</v>
      </c>
      <c r="D62" s="17">
        <v>10962.7</v>
      </c>
    </row>
    <row r="63" spans="1:4" x14ac:dyDescent="0.5">
      <c r="A63" s="20" t="s">
        <v>61</v>
      </c>
      <c r="B63" s="17">
        <v>10962.7</v>
      </c>
      <c r="C63">
        <v>1</v>
      </c>
      <c r="D63" s="17">
        <v>10962.7</v>
      </c>
    </row>
    <row r="64" spans="1:4" x14ac:dyDescent="0.5">
      <c r="A64" s="21" t="s">
        <v>237</v>
      </c>
      <c r="B64" s="17">
        <v>10962.7</v>
      </c>
      <c r="C64">
        <v>1</v>
      </c>
      <c r="D64" s="17">
        <v>10962.7</v>
      </c>
    </row>
    <row r="65" spans="1:4" x14ac:dyDescent="0.5">
      <c r="A65" s="19" t="s">
        <v>175</v>
      </c>
      <c r="B65" s="17">
        <v>39566.5</v>
      </c>
      <c r="C65">
        <v>1</v>
      </c>
      <c r="D65" s="17">
        <v>39566.5</v>
      </c>
    </row>
    <row r="66" spans="1:4" x14ac:dyDescent="0.5">
      <c r="A66" s="20" t="s">
        <v>22</v>
      </c>
      <c r="B66" s="17">
        <v>39566.5</v>
      </c>
      <c r="C66">
        <v>1</v>
      </c>
      <c r="D66" s="17">
        <v>39566.5</v>
      </c>
    </row>
    <row r="67" spans="1:4" x14ac:dyDescent="0.5">
      <c r="A67" s="21" t="s">
        <v>238</v>
      </c>
      <c r="B67" s="17">
        <v>39566.5</v>
      </c>
      <c r="C67">
        <v>1</v>
      </c>
      <c r="D67" s="17">
        <v>39566.5</v>
      </c>
    </row>
    <row r="68" spans="1:4" x14ac:dyDescent="0.5">
      <c r="A68" s="19" t="s">
        <v>111</v>
      </c>
      <c r="B68" s="17">
        <v>29571.149999999998</v>
      </c>
      <c r="C68">
        <v>2</v>
      </c>
      <c r="D68" s="17">
        <v>25663.55</v>
      </c>
    </row>
    <row r="69" spans="1:4" x14ac:dyDescent="0.5">
      <c r="A69" s="20" t="s">
        <v>30</v>
      </c>
      <c r="B69" s="17">
        <v>3907.6</v>
      </c>
      <c r="C69">
        <v>1</v>
      </c>
      <c r="D69" s="17">
        <v>3907.6</v>
      </c>
    </row>
    <row r="70" spans="1:4" x14ac:dyDescent="0.5">
      <c r="A70" s="21" t="s">
        <v>239</v>
      </c>
      <c r="B70" s="17">
        <v>3907.6</v>
      </c>
      <c r="C70">
        <v>1</v>
      </c>
      <c r="D70" s="17">
        <v>3907.6</v>
      </c>
    </row>
    <row r="71" spans="1:4" x14ac:dyDescent="0.5">
      <c r="A71" s="20" t="s">
        <v>22</v>
      </c>
      <c r="B71" s="17">
        <v>25663.55</v>
      </c>
      <c r="C71">
        <v>1</v>
      </c>
      <c r="D71" s="17">
        <v>25663.55</v>
      </c>
    </row>
    <row r="72" spans="1:4" x14ac:dyDescent="0.5">
      <c r="A72" s="21" t="s">
        <v>232</v>
      </c>
      <c r="B72" s="17">
        <v>25663.55</v>
      </c>
      <c r="C72">
        <v>1</v>
      </c>
      <c r="D72" s="17">
        <v>25663.55</v>
      </c>
    </row>
    <row r="73" spans="1:4" x14ac:dyDescent="0.5">
      <c r="A73" s="19" t="s">
        <v>90</v>
      </c>
      <c r="B73" s="17">
        <v>59291.340000000004</v>
      </c>
      <c r="C73">
        <v>3</v>
      </c>
      <c r="D73" s="17">
        <v>29611.47</v>
      </c>
    </row>
    <row r="74" spans="1:4" x14ac:dyDescent="0.5">
      <c r="A74" s="20" t="s">
        <v>30</v>
      </c>
      <c r="B74" s="17">
        <v>17741.68</v>
      </c>
      <c r="C74">
        <v>1</v>
      </c>
      <c r="D74" s="17">
        <v>17741.68</v>
      </c>
    </row>
    <row r="75" spans="1:4" x14ac:dyDescent="0.5">
      <c r="A75" s="21" t="s">
        <v>240</v>
      </c>
      <c r="B75" s="17">
        <v>17741.68</v>
      </c>
      <c r="C75">
        <v>1</v>
      </c>
      <c r="D75" s="17">
        <v>17741.68</v>
      </c>
    </row>
    <row r="76" spans="1:4" x14ac:dyDescent="0.5">
      <c r="A76" s="20" t="s">
        <v>50</v>
      </c>
      <c r="B76" s="17">
        <v>29611.47</v>
      </c>
      <c r="C76">
        <v>1</v>
      </c>
      <c r="D76" s="17">
        <v>29611.47</v>
      </c>
    </row>
    <row r="77" spans="1:4" x14ac:dyDescent="0.5">
      <c r="A77" s="21" t="s">
        <v>231</v>
      </c>
      <c r="B77" s="17">
        <v>29611.47</v>
      </c>
      <c r="C77">
        <v>1</v>
      </c>
      <c r="D77" s="17">
        <v>29611.47</v>
      </c>
    </row>
    <row r="78" spans="1:4" x14ac:dyDescent="0.5">
      <c r="A78" s="20" t="s">
        <v>61</v>
      </c>
      <c r="B78" s="17">
        <v>11938.19</v>
      </c>
      <c r="C78">
        <v>1</v>
      </c>
      <c r="D78" s="17">
        <v>11938.19</v>
      </c>
    </row>
    <row r="79" spans="1:4" x14ac:dyDescent="0.5">
      <c r="A79" s="21" t="s">
        <v>239</v>
      </c>
      <c r="B79" s="17">
        <v>11938.19</v>
      </c>
      <c r="C79">
        <v>1</v>
      </c>
      <c r="D79" s="17">
        <v>11938.19</v>
      </c>
    </row>
    <row r="80" spans="1:4" x14ac:dyDescent="0.5">
      <c r="A80" s="19" t="s">
        <v>185</v>
      </c>
      <c r="B80" s="17">
        <v>29369.81</v>
      </c>
      <c r="C80">
        <v>1</v>
      </c>
      <c r="D80" s="17">
        <v>29369.81</v>
      </c>
    </row>
    <row r="81" spans="1:4" x14ac:dyDescent="0.5">
      <c r="A81" s="20" t="s">
        <v>30</v>
      </c>
      <c r="B81" s="17">
        <v>29369.81</v>
      </c>
      <c r="C81">
        <v>1</v>
      </c>
      <c r="D81" s="17">
        <v>29369.81</v>
      </c>
    </row>
    <row r="82" spans="1:4" x14ac:dyDescent="0.5">
      <c r="A82" s="21" t="s">
        <v>234</v>
      </c>
      <c r="B82" s="17">
        <v>29369.81</v>
      </c>
      <c r="C82">
        <v>1</v>
      </c>
      <c r="D82" s="17">
        <v>29369.81</v>
      </c>
    </row>
    <row r="83" spans="1:4" x14ac:dyDescent="0.5">
      <c r="A83" s="19" t="s">
        <v>109</v>
      </c>
      <c r="B83" s="17">
        <v>61627.539999999994</v>
      </c>
      <c r="C83">
        <v>3</v>
      </c>
      <c r="D83" s="17">
        <v>39955.56</v>
      </c>
    </row>
    <row r="84" spans="1:4" x14ac:dyDescent="0.5">
      <c r="A84" s="20" t="s">
        <v>30</v>
      </c>
      <c r="B84" s="17">
        <v>13931</v>
      </c>
      <c r="C84">
        <v>1</v>
      </c>
      <c r="D84" s="17">
        <v>13931</v>
      </c>
    </row>
    <row r="85" spans="1:4" x14ac:dyDescent="0.5">
      <c r="A85" s="21" t="s">
        <v>239</v>
      </c>
      <c r="B85" s="17">
        <v>13931</v>
      </c>
      <c r="C85">
        <v>1</v>
      </c>
      <c r="D85" s="17">
        <v>13931</v>
      </c>
    </row>
    <row r="86" spans="1:4" x14ac:dyDescent="0.5">
      <c r="A86" s="20" t="s">
        <v>50</v>
      </c>
      <c r="B86" s="17">
        <v>7740.98</v>
      </c>
      <c r="C86">
        <v>1</v>
      </c>
      <c r="D86" s="17">
        <v>7740.98</v>
      </c>
    </row>
    <row r="87" spans="1:4" x14ac:dyDescent="0.5">
      <c r="A87" s="21" t="s">
        <v>233</v>
      </c>
      <c r="B87" s="17">
        <v>7740.98</v>
      </c>
      <c r="C87">
        <v>1</v>
      </c>
      <c r="D87" s="17">
        <v>7740.98</v>
      </c>
    </row>
    <row r="88" spans="1:4" x14ac:dyDescent="0.5">
      <c r="A88" s="20" t="s">
        <v>61</v>
      </c>
      <c r="B88" s="17">
        <v>39955.56</v>
      </c>
      <c r="C88">
        <v>1</v>
      </c>
      <c r="D88" s="17">
        <v>39955.56</v>
      </c>
    </row>
    <row r="89" spans="1:4" x14ac:dyDescent="0.5">
      <c r="A89" s="21" t="s">
        <v>241</v>
      </c>
      <c r="B89" s="17">
        <v>39955.56</v>
      </c>
      <c r="C89">
        <v>1</v>
      </c>
      <c r="D89" s="17">
        <v>39955.56</v>
      </c>
    </row>
    <row r="90" spans="1:4" x14ac:dyDescent="0.5">
      <c r="A90" s="19" t="s">
        <v>201</v>
      </c>
      <c r="B90" s="17">
        <v>49307.72</v>
      </c>
      <c r="C90">
        <v>2</v>
      </c>
      <c r="D90" s="17">
        <v>35099.51</v>
      </c>
    </row>
    <row r="91" spans="1:4" x14ac:dyDescent="0.5">
      <c r="A91" s="20" t="s">
        <v>61</v>
      </c>
      <c r="B91" s="17">
        <v>49307.72</v>
      </c>
      <c r="C91">
        <v>2</v>
      </c>
      <c r="D91" s="17">
        <v>35099.51</v>
      </c>
    </row>
    <row r="92" spans="1:4" x14ac:dyDescent="0.5">
      <c r="A92" s="21" t="s">
        <v>237</v>
      </c>
      <c r="B92" s="17">
        <v>14208.21</v>
      </c>
      <c r="C92">
        <v>1</v>
      </c>
      <c r="D92" s="17">
        <v>14208.21</v>
      </c>
    </row>
    <row r="93" spans="1:4" x14ac:dyDescent="0.5">
      <c r="A93" s="21" t="s">
        <v>238</v>
      </c>
      <c r="B93" s="17">
        <v>35099.51</v>
      </c>
      <c r="C93">
        <v>1</v>
      </c>
      <c r="D93" s="17">
        <v>35099.51</v>
      </c>
    </row>
    <row r="94" spans="1:4" x14ac:dyDescent="0.5">
      <c r="A94" s="19" t="s">
        <v>70</v>
      </c>
      <c r="B94" s="17">
        <v>4333.29</v>
      </c>
      <c r="C94">
        <v>1</v>
      </c>
      <c r="D94" s="17">
        <v>4333.29</v>
      </c>
    </row>
    <row r="95" spans="1:4" x14ac:dyDescent="0.5">
      <c r="A95" s="20" t="s">
        <v>61</v>
      </c>
      <c r="B95" s="17">
        <v>4333.29</v>
      </c>
      <c r="C95">
        <v>1</v>
      </c>
      <c r="D95" s="17">
        <v>4333.29</v>
      </c>
    </row>
    <row r="96" spans="1:4" x14ac:dyDescent="0.5">
      <c r="A96" s="21" t="s">
        <v>240</v>
      </c>
      <c r="B96" s="17">
        <v>4333.29</v>
      </c>
      <c r="C96">
        <v>1</v>
      </c>
      <c r="D96" s="17">
        <v>4333.29</v>
      </c>
    </row>
    <row r="97" spans="1:4" x14ac:dyDescent="0.5">
      <c r="A97" s="19" t="s">
        <v>57</v>
      </c>
      <c r="B97" s="17">
        <v>33060.32</v>
      </c>
      <c r="C97">
        <v>3</v>
      </c>
      <c r="D97" s="17">
        <v>15271.84</v>
      </c>
    </row>
    <row r="98" spans="1:4" x14ac:dyDescent="0.5">
      <c r="A98" s="20" t="s">
        <v>30</v>
      </c>
      <c r="B98" s="17">
        <v>8291.61</v>
      </c>
      <c r="C98">
        <v>1</v>
      </c>
      <c r="D98" s="17">
        <v>8291.61</v>
      </c>
    </row>
    <row r="99" spans="1:4" x14ac:dyDescent="0.5">
      <c r="A99" s="21" t="s">
        <v>238</v>
      </c>
      <c r="B99" s="17">
        <v>8291.61</v>
      </c>
      <c r="C99">
        <v>1</v>
      </c>
      <c r="D99" s="17">
        <v>8291.61</v>
      </c>
    </row>
    <row r="100" spans="1:4" x14ac:dyDescent="0.5">
      <c r="A100" s="20" t="s">
        <v>22</v>
      </c>
      <c r="B100" s="17">
        <v>15271.84</v>
      </c>
      <c r="C100">
        <v>1</v>
      </c>
      <c r="D100" s="17">
        <v>15271.84</v>
      </c>
    </row>
    <row r="101" spans="1:4" x14ac:dyDescent="0.5">
      <c r="A101" s="21" t="s">
        <v>231</v>
      </c>
      <c r="B101" s="17">
        <v>15271.84</v>
      </c>
      <c r="C101">
        <v>1</v>
      </c>
      <c r="D101" s="17">
        <v>15271.84</v>
      </c>
    </row>
    <row r="102" spans="1:4" x14ac:dyDescent="0.5">
      <c r="A102" s="20" t="s">
        <v>50</v>
      </c>
      <c r="B102" s="17">
        <v>9496.8700000000008</v>
      </c>
      <c r="C102">
        <v>1</v>
      </c>
      <c r="D102" s="17">
        <v>9496.8700000000008</v>
      </c>
    </row>
    <row r="103" spans="1:4" x14ac:dyDescent="0.5">
      <c r="A103" s="21" t="s">
        <v>230</v>
      </c>
      <c r="B103" s="17">
        <v>9496.8700000000008</v>
      </c>
      <c r="C103">
        <v>1</v>
      </c>
      <c r="D103" s="17">
        <v>9496.8700000000008</v>
      </c>
    </row>
    <row r="104" spans="1:4" x14ac:dyDescent="0.5">
      <c r="A104" s="19" t="s">
        <v>203</v>
      </c>
      <c r="B104" s="17">
        <v>12402.61</v>
      </c>
      <c r="C104">
        <v>1</v>
      </c>
      <c r="D104" s="17">
        <v>12402.61</v>
      </c>
    </row>
    <row r="105" spans="1:4" x14ac:dyDescent="0.5">
      <c r="A105" s="20" t="s">
        <v>30</v>
      </c>
      <c r="B105" s="17">
        <v>12402.61</v>
      </c>
      <c r="C105">
        <v>1</v>
      </c>
      <c r="D105" s="17">
        <v>12402.61</v>
      </c>
    </row>
    <row r="106" spans="1:4" x14ac:dyDescent="0.5">
      <c r="A106" s="21" t="s">
        <v>230</v>
      </c>
      <c r="B106" s="17">
        <v>12402.61</v>
      </c>
      <c r="C106">
        <v>1</v>
      </c>
      <c r="D106" s="17">
        <v>12402.61</v>
      </c>
    </row>
    <row r="107" spans="1:4" x14ac:dyDescent="0.5">
      <c r="A107" s="19" t="s">
        <v>142</v>
      </c>
      <c r="B107" s="17">
        <v>14403.04</v>
      </c>
      <c r="C107">
        <v>1</v>
      </c>
      <c r="D107" s="17">
        <v>14403.04</v>
      </c>
    </row>
    <row r="108" spans="1:4" x14ac:dyDescent="0.5">
      <c r="A108" s="20" t="s">
        <v>61</v>
      </c>
      <c r="B108" s="17">
        <v>14403.04</v>
      </c>
      <c r="C108">
        <v>1</v>
      </c>
      <c r="D108" s="17">
        <v>14403.04</v>
      </c>
    </row>
    <row r="109" spans="1:4" x14ac:dyDescent="0.5">
      <c r="A109" s="21" t="s">
        <v>235</v>
      </c>
      <c r="B109" s="17">
        <v>14403.04</v>
      </c>
      <c r="C109">
        <v>1</v>
      </c>
      <c r="D109" s="17">
        <v>14403.04</v>
      </c>
    </row>
    <row r="110" spans="1:4" x14ac:dyDescent="0.5">
      <c r="A110" s="19" t="s">
        <v>75</v>
      </c>
      <c r="B110" s="17">
        <v>27390.34</v>
      </c>
      <c r="C110">
        <v>1</v>
      </c>
      <c r="D110" s="17">
        <v>27390.34</v>
      </c>
    </row>
    <row r="111" spans="1:4" x14ac:dyDescent="0.5">
      <c r="A111" s="20" t="s">
        <v>61</v>
      </c>
      <c r="B111" s="17">
        <v>27390.34</v>
      </c>
      <c r="C111">
        <v>1</v>
      </c>
      <c r="D111" s="17">
        <v>27390.34</v>
      </c>
    </row>
    <row r="112" spans="1:4" x14ac:dyDescent="0.5">
      <c r="A112" s="21" t="s">
        <v>236</v>
      </c>
      <c r="B112" s="17">
        <v>27390.34</v>
      </c>
      <c r="C112">
        <v>1</v>
      </c>
      <c r="D112" s="17">
        <v>27390.34</v>
      </c>
    </row>
    <row r="113" spans="1:4" x14ac:dyDescent="0.5">
      <c r="A113" s="19" t="s">
        <v>126</v>
      </c>
      <c r="B113" s="17">
        <v>29056.35</v>
      </c>
      <c r="C113">
        <v>1</v>
      </c>
      <c r="D113" s="17">
        <v>29056.35</v>
      </c>
    </row>
    <row r="114" spans="1:4" x14ac:dyDescent="0.5">
      <c r="A114" s="20" t="s">
        <v>30</v>
      </c>
      <c r="B114" s="17">
        <v>29056.35</v>
      </c>
      <c r="C114">
        <v>1</v>
      </c>
      <c r="D114" s="17">
        <v>29056.35</v>
      </c>
    </row>
    <row r="115" spans="1:4" x14ac:dyDescent="0.5">
      <c r="A115" s="21" t="s">
        <v>237</v>
      </c>
      <c r="B115" s="17">
        <v>29056.35</v>
      </c>
      <c r="C115">
        <v>1</v>
      </c>
      <c r="D115" s="17">
        <v>29056.35</v>
      </c>
    </row>
    <row r="116" spans="1:4" x14ac:dyDescent="0.5">
      <c r="A116" s="19" t="s">
        <v>136</v>
      </c>
      <c r="B116" s="17">
        <v>1726.36</v>
      </c>
      <c r="C116">
        <v>1</v>
      </c>
      <c r="D116" s="17">
        <v>1726.36</v>
      </c>
    </row>
    <row r="117" spans="1:4" x14ac:dyDescent="0.5">
      <c r="A117" s="20" t="s">
        <v>61</v>
      </c>
      <c r="B117" s="17">
        <v>1726.36</v>
      </c>
      <c r="C117">
        <v>1</v>
      </c>
      <c r="D117" s="17">
        <v>1726.36</v>
      </c>
    </row>
    <row r="118" spans="1:4" x14ac:dyDescent="0.5">
      <c r="A118" s="21" t="s">
        <v>233</v>
      </c>
      <c r="B118" s="17">
        <v>1726.36</v>
      </c>
      <c r="C118">
        <v>1</v>
      </c>
      <c r="D118" s="17">
        <v>1726.36</v>
      </c>
    </row>
    <row r="119" spans="1:4" x14ac:dyDescent="0.5">
      <c r="A119" s="19" t="s">
        <v>148</v>
      </c>
      <c r="B119" s="17">
        <v>951.73</v>
      </c>
      <c r="C119">
        <v>1</v>
      </c>
      <c r="D119" s="17">
        <v>951.73</v>
      </c>
    </row>
    <row r="120" spans="1:4" x14ac:dyDescent="0.5">
      <c r="A120" s="20" t="s">
        <v>50</v>
      </c>
      <c r="B120" s="17">
        <v>951.73</v>
      </c>
      <c r="C120">
        <v>1</v>
      </c>
      <c r="D120" s="17">
        <v>951.73</v>
      </c>
    </row>
    <row r="121" spans="1:4" x14ac:dyDescent="0.5">
      <c r="A121" s="21" t="s">
        <v>241</v>
      </c>
      <c r="B121" s="17">
        <v>951.73</v>
      </c>
      <c r="C121">
        <v>1</v>
      </c>
      <c r="D121" s="17">
        <v>951.73</v>
      </c>
    </row>
    <row r="122" spans="1:4" x14ac:dyDescent="0.5">
      <c r="A122" s="19" t="s">
        <v>116</v>
      </c>
      <c r="B122" s="17">
        <v>10992.96</v>
      </c>
      <c r="C122">
        <v>1</v>
      </c>
      <c r="D122" s="17">
        <v>10992.96</v>
      </c>
    </row>
    <row r="123" spans="1:4" x14ac:dyDescent="0.5">
      <c r="A123" s="20" t="s">
        <v>22</v>
      </c>
      <c r="B123" s="17">
        <v>10992.96</v>
      </c>
      <c r="C123">
        <v>1</v>
      </c>
      <c r="D123" s="17">
        <v>10992.96</v>
      </c>
    </row>
    <row r="124" spans="1:4" x14ac:dyDescent="0.5">
      <c r="A124" s="21" t="s">
        <v>241</v>
      </c>
      <c r="B124" s="17">
        <v>10992.96</v>
      </c>
      <c r="C124">
        <v>1</v>
      </c>
      <c r="D124" s="17">
        <v>10992.96</v>
      </c>
    </row>
    <row r="125" spans="1:4" x14ac:dyDescent="0.5">
      <c r="A125" s="19" t="s">
        <v>162</v>
      </c>
      <c r="B125" s="17">
        <v>38416.14</v>
      </c>
      <c r="C125">
        <v>2</v>
      </c>
      <c r="D125" s="17">
        <v>30683.41</v>
      </c>
    </row>
    <row r="126" spans="1:4" x14ac:dyDescent="0.5">
      <c r="A126" s="20" t="s">
        <v>22</v>
      </c>
      <c r="B126" s="17">
        <v>7732.73</v>
      </c>
      <c r="C126">
        <v>1</v>
      </c>
      <c r="D126" s="17">
        <v>7732.73</v>
      </c>
    </row>
    <row r="127" spans="1:4" x14ac:dyDescent="0.5">
      <c r="A127" s="21" t="s">
        <v>230</v>
      </c>
      <c r="B127" s="17">
        <v>7732.73</v>
      </c>
      <c r="C127">
        <v>1</v>
      </c>
      <c r="D127" s="17">
        <v>7732.73</v>
      </c>
    </row>
    <row r="128" spans="1:4" x14ac:dyDescent="0.5">
      <c r="A128" s="20" t="s">
        <v>61</v>
      </c>
      <c r="B128" s="17">
        <v>30683.41</v>
      </c>
      <c r="C128">
        <v>1</v>
      </c>
      <c r="D128" s="17">
        <v>30683.41</v>
      </c>
    </row>
    <row r="129" spans="1:4" x14ac:dyDescent="0.5">
      <c r="A129" s="21" t="s">
        <v>233</v>
      </c>
      <c r="B129" s="17">
        <v>30683.41</v>
      </c>
      <c r="C129">
        <v>1</v>
      </c>
      <c r="D129" s="17">
        <v>30683.41</v>
      </c>
    </row>
    <row r="130" spans="1:4" x14ac:dyDescent="0.5">
      <c r="A130" s="19" t="s">
        <v>151</v>
      </c>
      <c r="B130" s="17">
        <v>10047.24</v>
      </c>
      <c r="C130">
        <v>1</v>
      </c>
      <c r="D130" s="17">
        <v>10047.24</v>
      </c>
    </row>
    <row r="131" spans="1:4" x14ac:dyDescent="0.5">
      <c r="A131" s="20" t="s">
        <v>61</v>
      </c>
      <c r="B131" s="17">
        <v>10047.24</v>
      </c>
      <c r="C131">
        <v>1</v>
      </c>
      <c r="D131" s="17">
        <v>10047.24</v>
      </c>
    </row>
    <row r="132" spans="1:4" x14ac:dyDescent="0.5">
      <c r="A132" s="21" t="s">
        <v>238</v>
      </c>
      <c r="B132" s="17">
        <v>10047.24</v>
      </c>
      <c r="C132">
        <v>1</v>
      </c>
      <c r="D132" s="17">
        <v>10047.24</v>
      </c>
    </row>
    <row r="133" spans="1:4" x14ac:dyDescent="0.5">
      <c r="A133" s="19" t="s">
        <v>155</v>
      </c>
      <c r="B133" s="17">
        <v>16925.37</v>
      </c>
      <c r="C133">
        <v>1</v>
      </c>
      <c r="D133" s="17">
        <v>16925.37</v>
      </c>
    </row>
    <row r="134" spans="1:4" x14ac:dyDescent="0.5">
      <c r="A134" s="20" t="s">
        <v>30</v>
      </c>
      <c r="B134" s="17">
        <v>16925.37</v>
      </c>
      <c r="C134">
        <v>1</v>
      </c>
      <c r="D134" s="17">
        <v>16925.37</v>
      </c>
    </row>
    <row r="135" spans="1:4" x14ac:dyDescent="0.5">
      <c r="A135" s="21" t="s">
        <v>237</v>
      </c>
      <c r="B135" s="17">
        <v>16925.37</v>
      </c>
      <c r="C135">
        <v>1</v>
      </c>
      <c r="D135" s="17">
        <v>16925.37</v>
      </c>
    </row>
    <row r="136" spans="1:4" x14ac:dyDescent="0.5">
      <c r="A136" s="19" t="s">
        <v>101</v>
      </c>
      <c r="B136" s="17">
        <v>8720.8000000000011</v>
      </c>
      <c r="C136">
        <v>2</v>
      </c>
      <c r="D136" s="17">
        <v>6675.1</v>
      </c>
    </row>
    <row r="137" spans="1:4" x14ac:dyDescent="0.5">
      <c r="A137" s="20" t="s">
        <v>22</v>
      </c>
      <c r="B137" s="17">
        <v>6675.1</v>
      </c>
      <c r="C137">
        <v>1</v>
      </c>
      <c r="D137" s="17">
        <v>6675.1</v>
      </c>
    </row>
    <row r="138" spans="1:4" x14ac:dyDescent="0.5">
      <c r="A138" s="21" t="s">
        <v>241</v>
      </c>
      <c r="B138" s="17">
        <v>6675.1</v>
      </c>
      <c r="C138">
        <v>1</v>
      </c>
      <c r="D138" s="17">
        <v>6675.1</v>
      </c>
    </row>
    <row r="139" spans="1:4" x14ac:dyDescent="0.5">
      <c r="A139" s="20" t="s">
        <v>61</v>
      </c>
      <c r="B139" s="17">
        <v>2045.7</v>
      </c>
      <c r="C139">
        <v>1</v>
      </c>
      <c r="D139" s="17">
        <v>2045.7</v>
      </c>
    </row>
    <row r="140" spans="1:4" x14ac:dyDescent="0.5">
      <c r="A140" s="21" t="s">
        <v>230</v>
      </c>
      <c r="B140" s="17">
        <v>2045.7</v>
      </c>
      <c r="C140">
        <v>1</v>
      </c>
      <c r="D140" s="17">
        <v>2045.7</v>
      </c>
    </row>
    <row r="141" spans="1:4" x14ac:dyDescent="0.5">
      <c r="A141" s="19" t="s">
        <v>96</v>
      </c>
      <c r="B141" s="17">
        <v>20694.689999999999</v>
      </c>
      <c r="C141">
        <v>2</v>
      </c>
      <c r="D141" s="17">
        <v>12098.05</v>
      </c>
    </row>
    <row r="142" spans="1:4" x14ac:dyDescent="0.5">
      <c r="A142" s="20" t="s">
        <v>30</v>
      </c>
      <c r="B142" s="17">
        <v>12098.05</v>
      </c>
      <c r="C142">
        <v>1</v>
      </c>
      <c r="D142" s="17">
        <v>12098.05</v>
      </c>
    </row>
    <row r="143" spans="1:4" x14ac:dyDescent="0.5">
      <c r="A143" s="21" t="s">
        <v>234</v>
      </c>
      <c r="B143" s="17">
        <v>12098.05</v>
      </c>
      <c r="C143">
        <v>1</v>
      </c>
      <c r="D143" s="17">
        <v>12098.05</v>
      </c>
    </row>
    <row r="144" spans="1:4" x14ac:dyDescent="0.5">
      <c r="A144" s="20" t="s">
        <v>61</v>
      </c>
      <c r="B144" s="17">
        <v>8596.64</v>
      </c>
      <c r="C144">
        <v>1</v>
      </c>
      <c r="D144" s="17">
        <v>8596.64</v>
      </c>
    </row>
    <row r="145" spans="1:4" x14ac:dyDescent="0.5">
      <c r="A145" s="21" t="s">
        <v>238</v>
      </c>
      <c r="B145" s="17">
        <v>8596.64</v>
      </c>
      <c r="C145">
        <v>1</v>
      </c>
      <c r="D145" s="17">
        <v>8596.64</v>
      </c>
    </row>
    <row r="146" spans="1:4" x14ac:dyDescent="0.5">
      <c r="A146" s="19" t="s">
        <v>172</v>
      </c>
      <c r="B146" s="17">
        <v>14078.17</v>
      </c>
      <c r="C146">
        <v>1</v>
      </c>
      <c r="D146" s="17">
        <v>14078.17</v>
      </c>
    </row>
    <row r="147" spans="1:4" x14ac:dyDescent="0.5">
      <c r="A147" s="20" t="s">
        <v>22</v>
      </c>
      <c r="B147" s="17">
        <v>14078.17</v>
      </c>
      <c r="C147">
        <v>1</v>
      </c>
      <c r="D147" s="17">
        <v>14078.17</v>
      </c>
    </row>
    <row r="148" spans="1:4" x14ac:dyDescent="0.5">
      <c r="A148" s="21" t="s">
        <v>237</v>
      </c>
      <c r="B148" s="17">
        <v>14078.17</v>
      </c>
      <c r="C148">
        <v>1</v>
      </c>
      <c r="D148" s="17">
        <v>14078.17</v>
      </c>
    </row>
    <row r="149" spans="1:4" x14ac:dyDescent="0.5">
      <c r="A149" s="19" t="s">
        <v>209</v>
      </c>
      <c r="B149" s="17">
        <v>39241.39</v>
      </c>
      <c r="C149">
        <v>1</v>
      </c>
      <c r="D149" s="17">
        <v>39241.39</v>
      </c>
    </row>
    <row r="150" spans="1:4" x14ac:dyDescent="0.5">
      <c r="A150" s="20" t="s">
        <v>22</v>
      </c>
      <c r="B150" s="17">
        <v>39241.39</v>
      </c>
      <c r="C150">
        <v>1</v>
      </c>
      <c r="D150" s="17">
        <v>39241.39</v>
      </c>
    </row>
    <row r="151" spans="1:4" x14ac:dyDescent="0.5">
      <c r="A151" s="21" t="s">
        <v>241</v>
      </c>
      <c r="B151" s="17">
        <v>39241.39</v>
      </c>
      <c r="C151">
        <v>1</v>
      </c>
      <c r="D151" s="17">
        <v>39241.39</v>
      </c>
    </row>
    <row r="152" spans="1:4" x14ac:dyDescent="0.5">
      <c r="A152" s="19" t="s">
        <v>78</v>
      </c>
      <c r="B152" s="17">
        <v>16905.060000000001</v>
      </c>
      <c r="C152">
        <v>2</v>
      </c>
      <c r="D152" s="17">
        <v>8994.44</v>
      </c>
    </row>
    <row r="153" spans="1:4" x14ac:dyDescent="0.5">
      <c r="A153" s="20" t="s">
        <v>30</v>
      </c>
      <c r="B153" s="17">
        <v>8994.44</v>
      </c>
      <c r="C153">
        <v>1</v>
      </c>
      <c r="D153" s="17">
        <v>8994.44</v>
      </c>
    </row>
    <row r="154" spans="1:4" x14ac:dyDescent="0.5">
      <c r="A154" s="21" t="s">
        <v>240</v>
      </c>
      <c r="B154" s="17">
        <v>8994.44</v>
      </c>
      <c r="C154">
        <v>1</v>
      </c>
      <c r="D154" s="17">
        <v>8994.44</v>
      </c>
    </row>
    <row r="155" spans="1:4" x14ac:dyDescent="0.5">
      <c r="A155" s="20" t="s">
        <v>50</v>
      </c>
      <c r="B155" s="17">
        <v>7910.62</v>
      </c>
      <c r="C155">
        <v>1</v>
      </c>
      <c r="D155" s="17">
        <v>7910.62</v>
      </c>
    </row>
    <row r="156" spans="1:4" x14ac:dyDescent="0.5">
      <c r="A156" s="21" t="s">
        <v>233</v>
      </c>
      <c r="B156" s="17">
        <v>7910.62</v>
      </c>
      <c r="C156">
        <v>1</v>
      </c>
      <c r="D156" s="17">
        <v>7910.62</v>
      </c>
    </row>
    <row r="157" spans="1:4" x14ac:dyDescent="0.5">
      <c r="A157" s="19" t="s">
        <v>119</v>
      </c>
      <c r="B157" s="17">
        <v>40262.57</v>
      </c>
      <c r="C157">
        <v>3</v>
      </c>
      <c r="D157" s="17">
        <v>26568.89</v>
      </c>
    </row>
    <row r="158" spans="1:4" x14ac:dyDescent="0.5">
      <c r="A158" s="20" t="s">
        <v>22</v>
      </c>
      <c r="B158" s="17">
        <v>26568.89</v>
      </c>
      <c r="C158">
        <v>1</v>
      </c>
      <c r="D158" s="17">
        <v>26568.89</v>
      </c>
    </row>
    <row r="159" spans="1:4" x14ac:dyDescent="0.5">
      <c r="A159" s="21" t="s">
        <v>231</v>
      </c>
      <c r="B159" s="17">
        <v>26568.89</v>
      </c>
      <c r="C159">
        <v>1</v>
      </c>
      <c r="D159" s="17">
        <v>26568.89</v>
      </c>
    </row>
    <row r="160" spans="1:4" x14ac:dyDescent="0.5">
      <c r="A160" s="20" t="s">
        <v>50</v>
      </c>
      <c r="B160" s="17">
        <v>13693.68</v>
      </c>
      <c r="C160">
        <v>2</v>
      </c>
      <c r="D160" s="17">
        <v>8154.31</v>
      </c>
    </row>
    <row r="161" spans="1:4" x14ac:dyDescent="0.5">
      <c r="A161" s="21" t="s">
        <v>233</v>
      </c>
      <c r="B161" s="17">
        <v>5539.37</v>
      </c>
      <c r="C161">
        <v>1</v>
      </c>
      <c r="D161" s="17">
        <v>5539.37</v>
      </c>
    </row>
    <row r="162" spans="1:4" x14ac:dyDescent="0.5">
      <c r="A162" s="21" t="s">
        <v>232</v>
      </c>
      <c r="B162" s="17">
        <v>8154.31</v>
      </c>
      <c r="C162">
        <v>1</v>
      </c>
      <c r="D162" s="17">
        <v>8154.31</v>
      </c>
    </row>
    <row r="163" spans="1:4" x14ac:dyDescent="0.5">
      <c r="A163" s="19" t="s">
        <v>123</v>
      </c>
      <c r="B163" s="17">
        <v>4408.3100000000004</v>
      </c>
      <c r="C163">
        <v>1</v>
      </c>
      <c r="D163" s="17">
        <v>4408.3100000000004</v>
      </c>
    </row>
    <row r="164" spans="1:4" x14ac:dyDescent="0.5">
      <c r="A164" s="20" t="s">
        <v>30</v>
      </c>
      <c r="B164" s="17">
        <v>4408.3100000000004</v>
      </c>
      <c r="C164">
        <v>1</v>
      </c>
      <c r="D164" s="17">
        <v>4408.3100000000004</v>
      </c>
    </row>
    <row r="165" spans="1:4" x14ac:dyDescent="0.5">
      <c r="A165" s="21" t="s">
        <v>238</v>
      </c>
      <c r="B165" s="17">
        <v>4408.3100000000004</v>
      </c>
      <c r="C165">
        <v>1</v>
      </c>
      <c r="D165" s="17">
        <v>4408.3100000000004</v>
      </c>
    </row>
    <row r="166" spans="1:4" x14ac:dyDescent="0.5">
      <c r="A166" s="19" t="s">
        <v>44</v>
      </c>
      <c r="B166" s="17">
        <v>12275.91</v>
      </c>
      <c r="C166">
        <v>2</v>
      </c>
      <c r="D166" s="17">
        <v>9254.82</v>
      </c>
    </row>
    <row r="167" spans="1:4" x14ac:dyDescent="0.5">
      <c r="A167" s="20" t="s">
        <v>22</v>
      </c>
      <c r="B167" s="17">
        <v>9254.82</v>
      </c>
      <c r="C167">
        <v>1</v>
      </c>
      <c r="D167" s="17">
        <v>9254.82</v>
      </c>
    </row>
    <row r="168" spans="1:4" x14ac:dyDescent="0.5">
      <c r="A168" s="21" t="s">
        <v>235</v>
      </c>
      <c r="B168" s="17">
        <v>9254.82</v>
      </c>
      <c r="C168">
        <v>1</v>
      </c>
      <c r="D168" s="17">
        <v>9254.82</v>
      </c>
    </row>
    <row r="169" spans="1:4" x14ac:dyDescent="0.5">
      <c r="A169" s="20" t="s">
        <v>61</v>
      </c>
      <c r="B169" s="17">
        <v>3021.09</v>
      </c>
      <c r="C169">
        <v>1</v>
      </c>
      <c r="D169" s="17">
        <v>3021.09</v>
      </c>
    </row>
    <row r="170" spans="1:4" x14ac:dyDescent="0.5">
      <c r="A170" s="21" t="s">
        <v>241</v>
      </c>
      <c r="B170" s="17">
        <v>3021.09</v>
      </c>
      <c r="C170">
        <v>1</v>
      </c>
      <c r="D170" s="17">
        <v>3021.09</v>
      </c>
    </row>
    <row r="171" spans="1:4" x14ac:dyDescent="0.5">
      <c r="A171" s="19" t="s">
        <v>128</v>
      </c>
      <c r="B171" s="17">
        <v>2792.46</v>
      </c>
      <c r="C171">
        <v>2</v>
      </c>
      <c r="D171" s="17">
        <v>1448.75</v>
      </c>
    </row>
    <row r="172" spans="1:4" x14ac:dyDescent="0.5">
      <c r="A172" s="20" t="s">
        <v>22</v>
      </c>
      <c r="B172" s="17">
        <v>1343.71</v>
      </c>
      <c r="C172">
        <v>1</v>
      </c>
      <c r="D172" s="17">
        <v>1343.71</v>
      </c>
    </row>
    <row r="173" spans="1:4" x14ac:dyDescent="0.5">
      <c r="A173" s="21" t="s">
        <v>231</v>
      </c>
      <c r="B173" s="17">
        <v>1343.71</v>
      </c>
      <c r="C173">
        <v>1</v>
      </c>
      <c r="D173" s="17">
        <v>1343.71</v>
      </c>
    </row>
    <row r="174" spans="1:4" x14ac:dyDescent="0.5">
      <c r="A174" s="20" t="s">
        <v>61</v>
      </c>
      <c r="B174" s="17">
        <v>1448.75</v>
      </c>
      <c r="C174">
        <v>1</v>
      </c>
      <c r="D174" s="17">
        <v>1448.75</v>
      </c>
    </row>
    <row r="175" spans="1:4" x14ac:dyDescent="0.5">
      <c r="A175" s="21" t="s">
        <v>235</v>
      </c>
      <c r="B175" s="17">
        <v>1448.75</v>
      </c>
      <c r="C175">
        <v>1</v>
      </c>
      <c r="D175" s="17">
        <v>1448.75</v>
      </c>
    </row>
    <row r="176" spans="1:4" x14ac:dyDescent="0.5">
      <c r="A176" s="19" t="s">
        <v>38</v>
      </c>
      <c r="B176" s="17">
        <v>29973.3</v>
      </c>
      <c r="C176">
        <v>3</v>
      </c>
      <c r="D176" s="17">
        <v>14017.66</v>
      </c>
    </row>
    <row r="177" spans="1:4" x14ac:dyDescent="0.5">
      <c r="A177" s="20" t="s">
        <v>30</v>
      </c>
      <c r="B177" s="17">
        <v>3785.21</v>
      </c>
      <c r="C177">
        <v>1</v>
      </c>
      <c r="D177" s="17">
        <v>3785.21</v>
      </c>
    </row>
    <row r="178" spans="1:4" x14ac:dyDescent="0.5">
      <c r="A178" s="21" t="s">
        <v>233</v>
      </c>
      <c r="B178" s="17">
        <v>3785.21</v>
      </c>
      <c r="C178">
        <v>1</v>
      </c>
      <c r="D178" s="17">
        <v>3785.21</v>
      </c>
    </row>
    <row r="179" spans="1:4" x14ac:dyDescent="0.5">
      <c r="A179" s="20" t="s">
        <v>22</v>
      </c>
      <c r="B179" s="17">
        <v>26188.09</v>
      </c>
      <c r="C179">
        <v>2</v>
      </c>
      <c r="D179" s="17">
        <v>14017.66</v>
      </c>
    </row>
    <row r="180" spans="1:4" x14ac:dyDescent="0.5">
      <c r="A180" s="21" t="s">
        <v>234</v>
      </c>
      <c r="B180" s="17">
        <v>14017.66</v>
      </c>
      <c r="C180">
        <v>1</v>
      </c>
      <c r="D180" s="17">
        <v>14017.66</v>
      </c>
    </row>
    <row r="181" spans="1:4" x14ac:dyDescent="0.5">
      <c r="A181" s="21" t="s">
        <v>240</v>
      </c>
      <c r="B181" s="17">
        <v>12170.43</v>
      </c>
      <c r="C181">
        <v>1</v>
      </c>
      <c r="D181" s="17">
        <v>12170.43</v>
      </c>
    </row>
    <row r="182" spans="1:4" x14ac:dyDescent="0.5">
      <c r="A182" s="19" t="s">
        <v>166</v>
      </c>
      <c r="B182" s="17">
        <v>4050.1</v>
      </c>
      <c r="C182">
        <v>1</v>
      </c>
      <c r="D182" s="17">
        <v>4050.1</v>
      </c>
    </row>
    <row r="183" spans="1:4" x14ac:dyDescent="0.5">
      <c r="A183" s="20" t="s">
        <v>50</v>
      </c>
      <c r="B183" s="17">
        <v>4050.1</v>
      </c>
      <c r="C183">
        <v>1</v>
      </c>
      <c r="D183" s="17">
        <v>4050.1</v>
      </c>
    </row>
    <row r="184" spans="1:4" x14ac:dyDescent="0.5">
      <c r="A184" s="21" t="s">
        <v>241</v>
      </c>
      <c r="B184" s="17">
        <v>4050.1</v>
      </c>
      <c r="C184">
        <v>1</v>
      </c>
      <c r="D184" s="17">
        <v>4050.1</v>
      </c>
    </row>
    <row r="185" spans="1:4" x14ac:dyDescent="0.5">
      <c r="A185" s="19" t="s">
        <v>107</v>
      </c>
      <c r="B185" s="17">
        <v>41576.480000000003</v>
      </c>
      <c r="C185">
        <v>2</v>
      </c>
      <c r="D185" s="17">
        <v>28873.200000000001</v>
      </c>
    </row>
    <row r="186" spans="1:4" x14ac:dyDescent="0.5">
      <c r="A186" s="20" t="s">
        <v>30</v>
      </c>
      <c r="B186" s="17">
        <v>28873.200000000001</v>
      </c>
      <c r="C186">
        <v>1</v>
      </c>
      <c r="D186" s="17">
        <v>28873.200000000001</v>
      </c>
    </row>
    <row r="187" spans="1:4" x14ac:dyDescent="0.5">
      <c r="A187" s="21" t="s">
        <v>239</v>
      </c>
      <c r="B187" s="17">
        <v>28873.200000000001</v>
      </c>
      <c r="C187">
        <v>1</v>
      </c>
      <c r="D187" s="17">
        <v>28873.200000000001</v>
      </c>
    </row>
    <row r="188" spans="1:4" x14ac:dyDescent="0.5">
      <c r="A188" s="20" t="s">
        <v>22</v>
      </c>
      <c r="B188" s="17">
        <v>12703.28</v>
      </c>
      <c r="C188">
        <v>1</v>
      </c>
      <c r="D188" s="17">
        <v>12703.28</v>
      </c>
    </row>
    <row r="189" spans="1:4" x14ac:dyDescent="0.5">
      <c r="A189" s="21" t="s">
        <v>236</v>
      </c>
      <c r="B189" s="17">
        <v>12703.28</v>
      </c>
      <c r="C189">
        <v>1</v>
      </c>
      <c r="D189" s="17">
        <v>12703.28</v>
      </c>
    </row>
    <row r="190" spans="1:4" x14ac:dyDescent="0.5">
      <c r="A190" s="19" t="s">
        <v>158</v>
      </c>
      <c r="B190" s="17">
        <v>38258.92</v>
      </c>
      <c r="C190">
        <v>2</v>
      </c>
      <c r="D190" s="17">
        <v>20693.189999999999</v>
      </c>
    </row>
    <row r="191" spans="1:4" x14ac:dyDescent="0.5">
      <c r="A191" s="20" t="s">
        <v>61</v>
      </c>
      <c r="B191" s="17">
        <v>38258.92</v>
      </c>
      <c r="C191">
        <v>2</v>
      </c>
      <c r="D191" s="17">
        <v>20693.189999999999</v>
      </c>
    </row>
    <row r="192" spans="1:4" x14ac:dyDescent="0.5">
      <c r="A192" s="21" t="s">
        <v>234</v>
      </c>
      <c r="B192" s="17">
        <v>17565.73</v>
      </c>
      <c r="C192">
        <v>1</v>
      </c>
      <c r="D192" s="17">
        <v>17565.73</v>
      </c>
    </row>
    <row r="193" spans="1:4" x14ac:dyDescent="0.5">
      <c r="A193" s="21" t="s">
        <v>241</v>
      </c>
      <c r="B193" s="17">
        <v>20693.189999999999</v>
      </c>
      <c r="C193">
        <v>1</v>
      </c>
      <c r="D193" s="17">
        <v>20693.189999999999</v>
      </c>
    </row>
    <row r="194" spans="1:4" x14ac:dyDescent="0.5">
      <c r="A194" s="19" t="s">
        <v>181</v>
      </c>
      <c r="B194" s="17">
        <v>7796.32</v>
      </c>
      <c r="C194">
        <v>1</v>
      </c>
      <c r="D194" s="17">
        <v>7796.32</v>
      </c>
    </row>
    <row r="195" spans="1:4" x14ac:dyDescent="0.5">
      <c r="A195" s="20" t="s">
        <v>50</v>
      </c>
      <c r="B195" s="17">
        <v>7796.32</v>
      </c>
      <c r="C195">
        <v>1</v>
      </c>
      <c r="D195" s="17">
        <v>7796.32</v>
      </c>
    </row>
    <row r="196" spans="1:4" x14ac:dyDescent="0.5">
      <c r="A196" s="21" t="s">
        <v>230</v>
      </c>
      <c r="B196" s="17">
        <v>7796.32</v>
      </c>
      <c r="C196">
        <v>1</v>
      </c>
      <c r="D196" s="17">
        <v>7796.32</v>
      </c>
    </row>
    <row r="197" spans="1:4" x14ac:dyDescent="0.5">
      <c r="A197" s="19" t="s">
        <v>227</v>
      </c>
      <c r="B197" s="17">
        <v>1001480.4399999997</v>
      </c>
      <c r="C197">
        <v>75</v>
      </c>
      <c r="D197" s="17">
        <v>39955.56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6"/>
  <sheetViews>
    <sheetView tabSelected="1" topLeftCell="B1" zoomScale="86" workbookViewId="0">
      <selection activeCell="V8" sqref="V8"/>
    </sheetView>
  </sheetViews>
  <sheetFormatPr defaultRowHeight="14.35" x14ac:dyDescent="0.5"/>
  <cols>
    <col min="1" max="1" width="15" customWidth="1"/>
    <col min="2" max="3" width="12" customWidth="1"/>
    <col min="4" max="4" width="16" customWidth="1"/>
    <col min="5" max="5" width="12" customWidth="1"/>
    <col min="6" max="6" width="18" customWidth="1"/>
    <col min="7" max="8" width="14" customWidth="1"/>
    <col min="9" max="9" width="10" customWidth="1"/>
    <col min="10" max="10" width="16" customWidth="1"/>
    <col min="11" max="11" width="14" customWidth="1"/>
    <col min="12" max="12" width="22" customWidth="1"/>
    <col min="13" max="13" width="12" style="25" customWidth="1"/>
    <col min="14" max="14" width="12" customWidth="1"/>
    <col min="15" max="16" width="10" customWidth="1"/>
    <col min="17" max="17" width="12" customWidth="1"/>
    <col min="18" max="18" width="12.17578125" bestFit="1" customWidth="1"/>
    <col min="19" max="19" width="9.703125" bestFit="1" customWidth="1"/>
  </cols>
  <sheetData>
    <row r="1" spans="1:19" ht="30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2" t="s">
        <v>12</v>
      </c>
      <c r="N1" s="1" t="s">
        <v>226</v>
      </c>
      <c r="O1" s="1" t="s">
        <v>13</v>
      </c>
      <c r="P1" s="1" t="s">
        <v>14</v>
      </c>
      <c r="Q1" s="26" t="s">
        <v>15</v>
      </c>
      <c r="R1" s="16" t="s">
        <v>221</v>
      </c>
      <c r="S1" s="16" t="s">
        <v>225</v>
      </c>
    </row>
    <row r="2" spans="1:19" x14ac:dyDescent="0.5">
      <c r="A2" s="2" t="s">
        <v>16</v>
      </c>
      <c r="B2" s="3">
        <v>45254</v>
      </c>
      <c r="C2" s="3">
        <v>45255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3">
        <v>3479.13</v>
      </c>
      <c r="N2" s="4" t="str">
        <f>IF(M2&gt;4000,"High Sales","Low Sales")</f>
        <v>Low Sales</v>
      </c>
      <c r="O2" s="2">
        <v>4</v>
      </c>
      <c r="P2" s="5">
        <v>0</v>
      </c>
      <c r="Q2" s="27">
        <v>880.25</v>
      </c>
      <c r="R2" s="29">
        <f>SUM(M2:M76)</f>
        <v>1001480.4399999997</v>
      </c>
      <c r="S2" s="29">
        <f>AVERAGE(M2:M76)</f>
        <v>13353.07253333333</v>
      </c>
    </row>
    <row r="3" spans="1:19" x14ac:dyDescent="0.5">
      <c r="A3" s="6" t="s">
        <v>26</v>
      </c>
      <c r="B3" s="7">
        <v>44942</v>
      </c>
      <c r="C3" s="7">
        <v>44943</v>
      </c>
      <c r="D3" s="6" t="s">
        <v>27</v>
      </c>
      <c r="E3" s="6" t="s">
        <v>18</v>
      </c>
      <c r="F3" s="6" t="s">
        <v>19</v>
      </c>
      <c r="G3" s="6" t="s">
        <v>28</v>
      </c>
      <c r="H3" s="6" t="s">
        <v>29</v>
      </c>
      <c r="I3" s="6" t="s">
        <v>30</v>
      </c>
      <c r="J3" s="6" t="s">
        <v>23</v>
      </c>
      <c r="K3" s="6" t="s">
        <v>31</v>
      </c>
      <c r="L3" s="6" t="s">
        <v>32</v>
      </c>
      <c r="M3" s="24">
        <v>3273.73</v>
      </c>
      <c r="N3" s="4" t="str">
        <f t="shared" ref="N3:N66" si="0">IF(M3&gt;4000,"High Sales","Low Sales")</f>
        <v>Low Sales</v>
      </c>
      <c r="O3" s="6">
        <v>10</v>
      </c>
      <c r="P3" s="8">
        <v>0</v>
      </c>
      <c r="Q3" s="28">
        <v>866.9</v>
      </c>
    </row>
    <row r="4" spans="1:19" x14ac:dyDescent="0.5">
      <c r="A4" s="2" t="s">
        <v>33</v>
      </c>
      <c r="B4" s="3">
        <v>44930</v>
      </c>
      <c r="C4" s="3">
        <v>44937</v>
      </c>
      <c r="D4" s="2" t="s">
        <v>27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30</v>
      </c>
      <c r="J4" s="2" t="s">
        <v>23</v>
      </c>
      <c r="K4" s="2" t="s">
        <v>37</v>
      </c>
      <c r="L4" s="2" t="s">
        <v>38</v>
      </c>
      <c r="M4" s="23">
        <v>3785.21</v>
      </c>
      <c r="N4" s="4" t="str">
        <f t="shared" si="0"/>
        <v>Low Sales</v>
      </c>
      <c r="O4" s="2">
        <v>5</v>
      </c>
      <c r="P4" s="5">
        <v>0.2</v>
      </c>
      <c r="Q4" s="27">
        <v>571.48</v>
      </c>
    </row>
    <row r="5" spans="1:19" x14ac:dyDescent="0.5">
      <c r="A5" s="6" t="s">
        <v>39</v>
      </c>
      <c r="B5" s="7">
        <v>45236</v>
      </c>
      <c r="C5" s="7">
        <v>45239</v>
      </c>
      <c r="D5" s="6" t="s">
        <v>40</v>
      </c>
      <c r="E5" s="6" t="s">
        <v>41</v>
      </c>
      <c r="F5" s="6" t="s">
        <v>42</v>
      </c>
      <c r="G5" s="6" t="s">
        <v>20</v>
      </c>
      <c r="H5" s="6" t="s">
        <v>43</v>
      </c>
      <c r="I5" s="6" t="s">
        <v>22</v>
      </c>
      <c r="J5" s="6" t="s">
        <v>23</v>
      </c>
      <c r="K5" s="6" t="s">
        <v>37</v>
      </c>
      <c r="L5" s="6" t="s">
        <v>44</v>
      </c>
      <c r="M5" s="24">
        <v>9254.82</v>
      </c>
      <c r="N5" s="4" t="str">
        <f t="shared" si="0"/>
        <v>High Sales</v>
      </c>
      <c r="O5" s="6">
        <v>2</v>
      </c>
      <c r="P5" s="8">
        <v>0.05</v>
      </c>
      <c r="Q5" s="28">
        <v>681.53</v>
      </c>
    </row>
    <row r="6" spans="1:19" x14ac:dyDescent="0.5">
      <c r="A6" s="2" t="s">
        <v>45</v>
      </c>
      <c r="B6" s="3">
        <v>44950</v>
      </c>
      <c r="C6" s="3">
        <v>44956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36</v>
      </c>
      <c r="I6" s="2" t="s">
        <v>50</v>
      </c>
      <c r="J6" s="2" t="s">
        <v>23</v>
      </c>
      <c r="K6" s="2" t="s">
        <v>24</v>
      </c>
      <c r="L6" s="2" t="s">
        <v>51</v>
      </c>
      <c r="M6" s="23">
        <v>16564.66</v>
      </c>
      <c r="N6" s="4" t="str">
        <f t="shared" si="0"/>
        <v>High Sales</v>
      </c>
      <c r="O6" s="2">
        <v>4</v>
      </c>
      <c r="P6" s="5">
        <v>0.05</v>
      </c>
      <c r="Q6" s="27">
        <v>2209.59</v>
      </c>
    </row>
    <row r="7" spans="1:19" x14ac:dyDescent="0.5">
      <c r="A7" s="6" t="s">
        <v>52</v>
      </c>
      <c r="B7" s="7">
        <v>45270</v>
      </c>
      <c r="C7" s="7">
        <v>45273</v>
      </c>
      <c r="D7" s="6" t="s">
        <v>40</v>
      </c>
      <c r="E7" s="6" t="s">
        <v>53</v>
      </c>
      <c r="F7" s="6" t="s">
        <v>54</v>
      </c>
      <c r="G7" s="6" t="s">
        <v>20</v>
      </c>
      <c r="H7" s="6" t="s">
        <v>43</v>
      </c>
      <c r="I7" s="6" t="s">
        <v>30</v>
      </c>
      <c r="J7" s="6" t="s">
        <v>55</v>
      </c>
      <c r="K7" s="6" t="s">
        <v>56</v>
      </c>
      <c r="L7" s="6" t="s">
        <v>57</v>
      </c>
      <c r="M7" s="24">
        <v>8291.61</v>
      </c>
      <c r="N7" s="4" t="str">
        <f t="shared" si="0"/>
        <v>High Sales</v>
      </c>
      <c r="O7" s="6">
        <v>3</v>
      </c>
      <c r="P7" s="8">
        <v>0</v>
      </c>
      <c r="Q7" s="28">
        <v>821.04</v>
      </c>
    </row>
    <row r="8" spans="1:19" x14ac:dyDescent="0.5">
      <c r="A8" s="2" t="s">
        <v>58</v>
      </c>
      <c r="B8" s="3">
        <v>44955</v>
      </c>
      <c r="C8" s="3">
        <v>44957</v>
      </c>
      <c r="D8" s="2" t="s">
        <v>46</v>
      </c>
      <c r="E8" s="2" t="s">
        <v>59</v>
      </c>
      <c r="F8" s="2" t="s">
        <v>60</v>
      </c>
      <c r="G8" s="2" t="s">
        <v>20</v>
      </c>
      <c r="H8" s="2" t="s">
        <v>29</v>
      </c>
      <c r="I8" s="2" t="s">
        <v>61</v>
      </c>
      <c r="J8" s="2" t="s">
        <v>23</v>
      </c>
      <c r="K8" s="2" t="s">
        <v>24</v>
      </c>
      <c r="L8" s="2" t="s">
        <v>62</v>
      </c>
      <c r="M8" s="23">
        <v>2329.67</v>
      </c>
      <c r="N8" s="4" t="str">
        <f t="shared" si="0"/>
        <v>Low Sales</v>
      </c>
      <c r="O8" s="2">
        <v>5</v>
      </c>
      <c r="P8" s="5">
        <v>0.1</v>
      </c>
      <c r="Q8" s="27">
        <v>728.98</v>
      </c>
    </row>
    <row r="9" spans="1:19" x14ac:dyDescent="0.5">
      <c r="A9" s="6" t="s">
        <v>63</v>
      </c>
      <c r="B9" s="7">
        <v>45256</v>
      </c>
      <c r="C9" s="7">
        <v>45260</v>
      </c>
      <c r="D9" s="6" t="s">
        <v>27</v>
      </c>
      <c r="E9" s="6" t="s">
        <v>64</v>
      </c>
      <c r="F9" s="6" t="s">
        <v>65</v>
      </c>
      <c r="G9" s="6" t="s">
        <v>20</v>
      </c>
      <c r="H9" s="6" t="s">
        <v>21</v>
      </c>
      <c r="I9" s="6" t="s">
        <v>30</v>
      </c>
      <c r="J9" s="6" t="s">
        <v>23</v>
      </c>
      <c r="K9" s="6" t="s">
        <v>24</v>
      </c>
      <c r="L9" s="6" t="s">
        <v>25</v>
      </c>
      <c r="M9" s="24">
        <v>13593.41</v>
      </c>
      <c r="N9" s="4" t="str">
        <f t="shared" si="0"/>
        <v>High Sales</v>
      </c>
      <c r="O9" s="6">
        <v>4</v>
      </c>
      <c r="P9" s="8">
        <v>0.1</v>
      </c>
      <c r="Q9" s="28">
        <v>1751.14</v>
      </c>
    </row>
    <row r="10" spans="1:19" x14ac:dyDescent="0.5">
      <c r="A10" s="2" t="s">
        <v>66</v>
      </c>
      <c r="B10" s="3">
        <v>45039</v>
      </c>
      <c r="C10" s="3">
        <v>45041</v>
      </c>
      <c r="D10" s="2" t="s">
        <v>17</v>
      </c>
      <c r="E10" s="2" t="s">
        <v>67</v>
      </c>
      <c r="F10" s="2" t="s">
        <v>68</v>
      </c>
      <c r="G10" s="2" t="s">
        <v>49</v>
      </c>
      <c r="H10" s="2" t="s">
        <v>21</v>
      </c>
      <c r="I10" s="2" t="s">
        <v>61</v>
      </c>
      <c r="J10" s="2" t="s">
        <v>55</v>
      </c>
      <c r="K10" s="2" t="s">
        <v>69</v>
      </c>
      <c r="L10" s="2" t="s">
        <v>70</v>
      </c>
      <c r="M10" s="23">
        <v>4333.29</v>
      </c>
      <c r="N10" s="4" t="str">
        <f t="shared" si="0"/>
        <v>High Sales</v>
      </c>
      <c r="O10" s="2">
        <v>1</v>
      </c>
      <c r="P10" s="5">
        <v>0</v>
      </c>
      <c r="Q10" s="27">
        <v>1032.3399999999999</v>
      </c>
    </row>
    <row r="11" spans="1:19" x14ac:dyDescent="0.5">
      <c r="A11" s="6" t="s">
        <v>71</v>
      </c>
      <c r="B11" s="7">
        <v>45197</v>
      </c>
      <c r="C11" s="7">
        <v>45200</v>
      </c>
      <c r="D11" s="6" t="s">
        <v>40</v>
      </c>
      <c r="E11" s="6" t="s">
        <v>72</v>
      </c>
      <c r="F11" s="6" t="s">
        <v>73</v>
      </c>
      <c r="G11" s="6" t="s">
        <v>49</v>
      </c>
      <c r="H11" s="6" t="s">
        <v>74</v>
      </c>
      <c r="I11" s="6" t="s">
        <v>61</v>
      </c>
      <c r="J11" s="6" t="s">
        <v>55</v>
      </c>
      <c r="K11" s="6" t="s">
        <v>56</v>
      </c>
      <c r="L11" s="6" t="s">
        <v>75</v>
      </c>
      <c r="M11" s="24">
        <v>27390.34</v>
      </c>
      <c r="N11" s="4" t="str">
        <f t="shared" si="0"/>
        <v>High Sales</v>
      </c>
      <c r="O11" s="6">
        <v>9</v>
      </c>
      <c r="P11" s="8">
        <v>0.2</v>
      </c>
      <c r="Q11" s="28">
        <v>6636.37</v>
      </c>
    </row>
    <row r="12" spans="1:19" x14ac:dyDescent="0.5">
      <c r="A12" s="2" t="s">
        <v>76</v>
      </c>
      <c r="B12" s="3">
        <v>44928</v>
      </c>
      <c r="C12" s="3">
        <v>44934</v>
      </c>
      <c r="D12" s="2" t="s">
        <v>46</v>
      </c>
      <c r="E12" s="2" t="s">
        <v>41</v>
      </c>
      <c r="F12" s="2" t="s">
        <v>42</v>
      </c>
      <c r="G12" s="2" t="s">
        <v>28</v>
      </c>
      <c r="H12" s="2" t="s">
        <v>36</v>
      </c>
      <c r="I12" s="2" t="s">
        <v>50</v>
      </c>
      <c r="J12" s="2" t="s">
        <v>55</v>
      </c>
      <c r="K12" s="2" t="s">
        <v>77</v>
      </c>
      <c r="L12" s="2" t="s">
        <v>78</v>
      </c>
      <c r="M12" s="23">
        <v>7910.62</v>
      </c>
      <c r="N12" s="4" t="str">
        <f t="shared" si="0"/>
        <v>High Sales</v>
      </c>
      <c r="O12" s="2">
        <v>3</v>
      </c>
      <c r="P12" s="5">
        <v>0</v>
      </c>
      <c r="Q12" s="27">
        <v>2461.4299999999998</v>
      </c>
    </row>
    <row r="13" spans="1:19" x14ac:dyDescent="0.5">
      <c r="A13" s="6" t="s">
        <v>79</v>
      </c>
      <c r="B13" s="7">
        <v>45203</v>
      </c>
      <c r="C13" s="7">
        <v>45210</v>
      </c>
      <c r="D13" s="6" t="s">
        <v>46</v>
      </c>
      <c r="E13" s="6" t="s">
        <v>41</v>
      </c>
      <c r="F13" s="6" t="s">
        <v>42</v>
      </c>
      <c r="G13" s="6" t="s">
        <v>28</v>
      </c>
      <c r="H13" s="6" t="s">
        <v>43</v>
      </c>
      <c r="I13" s="6" t="s">
        <v>22</v>
      </c>
      <c r="J13" s="6" t="s">
        <v>55</v>
      </c>
      <c r="K13" s="6" t="s">
        <v>56</v>
      </c>
      <c r="L13" s="6" t="s">
        <v>57</v>
      </c>
      <c r="M13" s="24">
        <v>15271.84</v>
      </c>
      <c r="N13" s="4" t="str">
        <f t="shared" si="0"/>
        <v>High Sales</v>
      </c>
      <c r="O13" s="6">
        <v>6</v>
      </c>
      <c r="P13" s="8">
        <v>0</v>
      </c>
      <c r="Q13" s="28">
        <v>5020.3100000000004</v>
      </c>
    </row>
    <row r="14" spans="1:19" x14ac:dyDescent="0.5">
      <c r="A14" s="2" t="s">
        <v>80</v>
      </c>
      <c r="B14" s="3">
        <v>44970</v>
      </c>
      <c r="C14" s="3">
        <v>44976</v>
      </c>
      <c r="D14" s="2" t="s">
        <v>40</v>
      </c>
      <c r="E14" s="2" t="s">
        <v>81</v>
      </c>
      <c r="F14" s="2" t="s">
        <v>82</v>
      </c>
      <c r="G14" s="2" t="s">
        <v>20</v>
      </c>
      <c r="H14" s="2" t="s">
        <v>21</v>
      </c>
      <c r="I14" s="2" t="s">
        <v>50</v>
      </c>
      <c r="J14" s="2" t="s">
        <v>83</v>
      </c>
      <c r="K14" s="2" t="s">
        <v>84</v>
      </c>
      <c r="L14" s="2" t="s">
        <v>85</v>
      </c>
      <c r="M14" s="23">
        <v>2326.4</v>
      </c>
      <c r="N14" s="4" t="str">
        <f t="shared" si="0"/>
        <v>Low Sales</v>
      </c>
      <c r="O14" s="2">
        <v>3</v>
      </c>
      <c r="P14" s="5">
        <v>0.05</v>
      </c>
      <c r="Q14" s="27">
        <v>777.14</v>
      </c>
    </row>
    <row r="15" spans="1:19" x14ac:dyDescent="0.5">
      <c r="A15" s="6" t="s">
        <v>86</v>
      </c>
      <c r="B15" s="7">
        <v>45203</v>
      </c>
      <c r="C15" s="7">
        <v>45210</v>
      </c>
      <c r="D15" s="6" t="s">
        <v>27</v>
      </c>
      <c r="E15" s="6" t="s">
        <v>87</v>
      </c>
      <c r="F15" s="6" t="s">
        <v>88</v>
      </c>
      <c r="G15" s="6" t="s">
        <v>28</v>
      </c>
      <c r="H15" s="6" t="s">
        <v>43</v>
      </c>
      <c r="I15" s="6" t="s">
        <v>50</v>
      </c>
      <c r="J15" s="6" t="s">
        <v>55</v>
      </c>
      <c r="K15" s="6" t="s">
        <v>89</v>
      </c>
      <c r="L15" s="6" t="s">
        <v>90</v>
      </c>
      <c r="M15" s="24">
        <v>29611.47</v>
      </c>
      <c r="N15" s="4" t="str">
        <f t="shared" si="0"/>
        <v>High Sales</v>
      </c>
      <c r="O15" s="6">
        <v>7</v>
      </c>
      <c r="P15" s="8">
        <v>0.15</v>
      </c>
      <c r="Q15" s="28">
        <v>4797.83</v>
      </c>
    </row>
    <row r="16" spans="1:19" x14ac:dyDescent="0.5">
      <c r="A16" s="2" t="s">
        <v>91</v>
      </c>
      <c r="B16" s="3">
        <v>44959</v>
      </c>
      <c r="C16" s="3">
        <v>44962</v>
      </c>
      <c r="D16" s="2" t="s">
        <v>46</v>
      </c>
      <c r="E16" s="2" t="s">
        <v>92</v>
      </c>
      <c r="F16" s="2" t="s">
        <v>93</v>
      </c>
      <c r="G16" s="2" t="s">
        <v>28</v>
      </c>
      <c r="H16" s="2" t="s">
        <v>94</v>
      </c>
      <c r="I16" s="2" t="s">
        <v>30</v>
      </c>
      <c r="J16" s="2" t="s">
        <v>23</v>
      </c>
      <c r="K16" s="2" t="s">
        <v>95</v>
      </c>
      <c r="L16" s="2" t="s">
        <v>96</v>
      </c>
      <c r="M16" s="23">
        <v>12098.05</v>
      </c>
      <c r="N16" s="4" t="str">
        <f t="shared" si="0"/>
        <v>High Sales</v>
      </c>
      <c r="O16" s="2">
        <v>4</v>
      </c>
      <c r="P16" s="5">
        <v>0</v>
      </c>
      <c r="Q16" s="27">
        <v>862.57</v>
      </c>
    </row>
    <row r="17" spans="1:17" x14ac:dyDescent="0.5">
      <c r="A17" s="6" t="s">
        <v>97</v>
      </c>
      <c r="B17" s="7">
        <v>44963</v>
      </c>
      <c r="C17" s="7">
        <v>44968</v>
      </c>
      <c r="D17" s="6" t="s">
        <v>27</v>
      </c>
      <c r="E17" s="6" t="s">
        <v>64</v>
      </c>
      <c r="F17" s="6" t="s">
        <v>65</v>
      </c>
      <c r="G17" s="6" t="s">
        <v>28</v>
      </c>
      <c r="H17" s="6" t="s">
        <v>29</v>
      </c>
      <c r="I17" s="6" t="s">
        <v>61</v>
      </c>
      <c r="J17" s="6" t="s">
        <v>23</v>
      </c>
      <c r="K17" s="6" t="s">
        <v>24</v>
      </c>
      <c r="L17" s="6" t="s">
        <v>62</v>
      </c>
      <c r="M17" s="24">
        <v>9480.2999999999993</v>
      </c>
      <c r="N17" s="4" t="str">
        <f t="shared" si="0"/>
        <v>High Sales</v>
      </c>
      <c r="O17" s="6">
        <v>4</v>
      </c>
      <c r="P17" s="8">
        <v>0.15</v>
      </c>
      <c r="Q17" s="28">
        <v>3134.7</v>
      </c>
    </row>
    <row r="18" spans="1:17" x14ac:dyDescent="0.5">
      <c r="A18" s="2" t="s">
        <v>98</v>
      </c>
      <c r="B18" s="3">
        <v>45024</v>
      </c>
      <c r="C18" s="3">
        <v>45025</v>
      </c>
      <c r="D18" s="2" t="s">
        <v>17</v>
      </c>
      <c r="E18" s="2" t="s">
        <v>72</v>
      </c>
      <c r="F18" s="2" t="s">
        <v>73</v>
      </c>
      <c r="G18" s="2" t="s">
        <v>49</v>
      </c>
      <c r="H18" s="2" t="s">
        <v>36</v>
      </c>
      <c r="I18" s="2" t="s">
        <v>22</v>
      </c>
      <c r="J18" s="2" t="s">
        <v>23</v>
      </c>
      <c r="K18" s="2" t="s">
        <v>37</v>
      </c>
      <c r="L18" s="2" t="s">
        <v>38</v>
      </c>
      <c r="M18" s="23">
        <v>12170.43</v>
      </c>
      <c r="N18" s="4" t="str">
        <f t="shared" si="0"/>
        <v>High Sales</v>
      </c>
      <c r="O18" s="2">
        <v>7</v>
      </c>
      <c r="P18" s="5">
        <v>0.2</v>
      </c>
      <c r="Q18" s="27">
        <v>3270.47</v>
      </c>
    </row>
    <row r="19" spans="1:17" x14ac:dyDescent="0.5">
      <c r="A19" s="6" t="s">
        <v>99</v>
      </c>
      <c r="B19" s="7">
        <v>45054</v>
      </c>
      <c r="C19" s="7">
        <v>45056</v>
      </c>
      <c r="D19" s="6" t="s">
        <v>27</v>
      </c>
      <c r="E19" s="6" t="s">
        <v>34</v>
      </c>
      <c r="F19" s="6" t="s">
        <v>35</v>
      </c>
      <c r="G19" s="6" t="s">
        <v>20</v>
      </c>
      <c r="H19" s="6" t="s">
        <v>100</v>
      </c>
      <c r="I19" s="6" t="s">
        <v>22</v>
      </c>
      <c r="J19" s="6" t="s">
        <v>23</v>
      </c>
      <c r="K19" s="6" t="s">
        <v>95</v>
      </c>
      <c r="L19" s="6" t="s">
        <v>101</v>
      </c>
      <c r="M19" s="24">
        <v>6675.1</v>
      </c>
      <c r="N19" s="4" t="str">
        <f t="shared" si="0"/>
        <v>High Sales</v>
      </c>
      <c r="O19" s="6">
        <v>3</v>
      </c>
      <c r="P19" s="8">
        <v>0</v>
      </c>
      <c r="Q19" s="28">
        <v>1260.18</v>
      </c>
    </row>
    <row r="20" spans="1:17" x14ac:dyDescent="0.5">
      <c r="A20" s="2" t="s">
        <v>102</v>
      </c>
      <c r="B20" s="3">
        <v>45260</v>
      </c>
      <c r="C20" s="3">
        <v>45265</v>
      </c>
      <c r="D20" s="2" t="s">
        <v>17</v>
      </c>
      <c r="E20" s="2" t="s">
        <v>53</v>
      </c>
      <c r="F20" s="2" t="s">
        <v>54</v>
      </c>
      <c r="G20" s="2" t="s">
        <v>28</v>
      </c>
      <c r="H20" s="2" t="s">
        <v>21</v>
      </c>
      <c r="I20" s="2" t="s">
        <v>22</v>
      </c>
      <c r="J20" s="2" t="s">
        <v>23</v>
      </c>
      <c r="K20" s="2" t="s">
        <v>103</v>
      </c>
      <c r="L20" s="2" t="s">
        <v>104</v>
      </c>
      <c r="M20" s="23">
        <v>6129.74</v>
      </c>
      <c r="N20" s="4" t="str">
        <f t="shared" si="0"/>
        <v>High Sales</v>
      </c>
      <c r="O20" s="2">
        <v>3</v>
      </c>
      <c r="P20" s="5">
        <v>0.05</v>
      </c>
      <c r="Q20" s="27">
        <v>699.55</v>
      </c>
    </row>
    <row r="21" spans="1:17" x14ac:dyDescent="0.5">
      <c r="A21" s="6" t="s">
        <v>105</v>
      </c>
      <c r="B21" s="7">
        <v>45126</v>
      </c>
      <c r="C21" s="7">
        <v>45129</v>
      </c>
      <c r="D21" s="6" t="s">
        <v>46</v>
      </c>
      <c r="E21" s="6" t="s">
        <v>41</v>
      </c>
      <c r="F21" s="6" t="s">
        <v>42</v>
      </c>
      <c r="G21" s="6" t="s">
        <v>28</v>
      </c>
      <c r="H21" s="6" t="s">
        <v>94</v>
      </c>
      <c r="I21" s="6" t="s">
        <v>30</v>
      </c>
      <c r="J21" s="6" t="s">
        <v>83</v>
      </c>
      <c r="K21" s="6" t="s">
        <v>106</v>
      </c>
      <c r="L21" s="6" t="s">
        <v>107</v>
      </c>
      <c r="M21" s="24">
        <v>28873.200000000001</v>
      </c>
      <c r="N21" s="4" t="str">
        <f t="shared" si="0"/>
        <v>High Sales</v>
      </c>
      <c r="O21" s="6">
        <v>9</v>
      </c>
      <c r="P21" s="8">
        <v>0.05</v>
      </c>
      <c r="Q21" s="28">
        <v>2784.5</v>
      </c>
    </row>
    <row r="22" spans="1:17" x14ac:dyDescent="0.5">
      <c r="A22" s="2" t="s">
        <v>108</v>
      </c>
      <c r="B22" s="3">
        <v>44956</v>
      </c>
      <c r="C22" s="3">
        <v>44957</v>
      </c>
      <c r="D22" s="2" t="s">
        <v>17</v>
      </c>
      <c r="E22" s="2" t="s">
        <v>81</v>
      </c>
      <c r="F22" s="2" t="s">
        <v>82</v>
      </c>
      <c r="G22" s="2" t="s">
        <v>20</v>
      </c>
      <c r="H22" s="2" t="s">
        <v>100</v>
      </c>
      <c r="I22" s="2" t="s">
        <v>50</v>
      </c>
      <c r="J22" s="2" t="s">
        <v>55</v>
      </c>
      <c r="K22" s="2" t="s">
        <v>69</v>
      </c>
      <c r="L22" s="2" t="s">
        <v>109</v>
      </c>
      <c r="M22" s="23">
        <v>7740.98</v>
      </c>
      <c r="N22" s="4" t="str">
        <f t="shared" si="0"/>
        <v>High Sales</v>
      </c>
      <c r="O22" s="2">
        <v>9</v>
      </c>
      <c r="P22" s="5">
        <v>0.1</v>
      </c>
      <c r="Q22" s="27">
        <v>573.09</v>
      </c>
    </row>
    <row r="23" spans="1:17" x14ac:dyDescent="0.5">
      <c r="A23" s="6" t="s">
        <v>110</v>
      </c>
      <c r="B23" s="7">
        <v>45133</v>
      </c>
      <c r="C23" s="7">
        <v>45134</v>
      </c>
      <c r="D23" s="6" t="s">
        <v>40</v>
      </c>
      <c r="E23" s="6" t="s">
        <v>64</v>
      </c>
      <c r="F23" s="6" t="s">
        <v>65</v>
      </c>
      <c r="G23" s="6" t="s">
        <v>49</v>
      </c>
      <c r="H23" s="6" t="s">
        <v>43</v>
      </c>
      <c r="I23" s="6" t="s">
        <v>30</v>
      </c>
      <c r="J23" s="6" t="s">
        <v>55</v>
      </c>
      <c r="K23" s="6" t="s">
        <v>89</v>
      </c>
      <c r="L23" s="6" t="s">
        <v>111</v>
      </c>
      <c r="M23" s="24">
        <v>3907.6</v>
      </c>
      <c r="N23" s="4" t="str">
        <f t="shared" si="0"/>
        <v>Low Sales</v>
      </c>
      <c r="O23" s="6">
        <v>10</v>
      </c>
      <c r="P23" s="8">
        <v>0</v>
      </c>
      <c r="Q23" s="28">
        <v>686.83</v>
      </c>
    </row>
    <row r="24" spans="1:17" x14ac:dyDescent="0.5">
      <c r="A24" s="2" t="s">
        <v>112</v>
      </c>
      <c r="B24" s="3">
        <v>45049</v>
      </c>
      <c r="C24" s="3">
        <v>45052</v>
      </c>
      <c r="D24" s="2" t="s">
        <v>27</v>
      </c>
      <c r="E24" s="2" t="s">
        <v>113</v>
      </c>
      <c r="F24" s="2" t="s">
        <v>114</v>
      </c>
      <c r="G24" s="2" t="s">
        <v>20</v>
      </c>
      <c r="H24" s="2" t="s">
        <v>100</v>
      </c>
      <c r="I24" s="2" t="s">
        <v>22</v>
      </c>
      <c r="J24" s="2" t="s">
        <v>83</v>
      </c>
      <c r="K24" s="2" t="s">
        <v>115</v>
      </c>
      <c r="L24" s="2" t="s">
        <v>116</v>
      </c>
      <c r="M24" s="23">
        <v>10992.96</v>
      </c>
      <c r="N24" s="4" t="str">
        <f t="shared" si="0"/>
        <v>High Sales</v>
      </c>
      <c r="O24" s="2">
        <v>8</v>
      </c>
      <c r="P24" s="5">
        <v>0.2</v>
      </c>
      <c r="Q24" s="27">
        <v>3635.59</v>
      </c>
    </row>
    <row r="25" spans="1:17" x14ac:dyDescent="0.5">
      <c r="A25" s="6" t="s">
        <v>117</v>
      </c>
      <c r="B25" s="7">
        <v>45202</v>
      </c>
      <c r="C25" s="7">
        <v>45204</v>
      </c>
      <c r="D25" s="6" t="s">
        <v>27</v>
      </c>
      <c r="E25" s="6" t="s">
        <v>81</v>
      </c>
      <c r="F25" s="6" t="s">
        <v>82</v>
      </c>
      <c r="G25" s="6" t="s">
        <v>20</v>
      </c>
      <c r="H25" s="6" t="s">
        <v>118</v>
      </c>
      <c r="I25" s="6" t="s">
        <v>22</v>
      </c>
      <c r="J25" s="6" t="s">
        <v>55</v>
      </c>
      <c r="K25" s="6" t="s">
        <v>77</v>
      </c>
      <c r="L25" s="6" t="s">
        <v>119</v>
      </c>
      <c r="M25" s="24">
        <v>26568.89</v>
      </c>
      <c r="N25" s="4" t="str">
        <f t="shared" si="0"/>
        <v>High Sales</v>
      </c>
      <c r="O25" s="6">
        <v>6</v>
      </c>
      <c r="P25" s="8">
        <v>0</v>
      </c>
      <c r="Q25" s="28">
        <v>4273.82</v>
      </c>
    </row>
    <row r="26" spans="1:17" x14ac:dyDescent="0.5">
      <c r="A26" s="2" t="s">
        <v>120</v>
      </c>
      <c r="B26" s="3">
        <v>45268</v>
      </c>
      <c r="C26" s="3">
        <v>45275</v>
      </c>
      <c r="D26" s="2" t="s">
        <v>40</v>
      </c>
      <c r="E26" s="2" t="s">
        <v>121</v>
      </c>
      <c r="F26" s="2" t="s">
        <v>122</v>
      </c>
      <c r="G26" s="2" t="s">
        <v>49</v>
      </c>
      <c r="H26" s="2" t="s">
        <v>43</v>
      </c>
      <c r="I26" s="2" t="s">
        <v>30</v>
      </c>
      <c r="J26" s="2" t="s">
        <v>55</v>
      </c>
      <c r="K26" s="2" t="s">
        <v>77</v>
      </c>
      <c r="L26" s="2" t="s">
        <v>123</v>
      </c>
      <c r="M26" s="23">
        <v>4408.3100000000004</v>
      </c>
      <c r="N26" s="4" t="str">
        <f t="shared" si="0"/>
        <v>High Sales</v>
      </c>
      <c r="O26" s="2">
        <v>3</v>
      </c>
      <c r="P26" s="5">
        <v>0</v>
      </c>
      <c r="Q26" s="27">
        <v>1202.26</v>
      </c>
    </row>
    <row r="27" spans="1:17" x14ac:dyDescent="0.5">
      <c r="A27" s="6" t="s">
        <v>124</v>
      </c>
      <c r="B27" s="7">
        <v>45031</v>
      </c>
      <c r="C27" s="7">
        <v>45037</v>
      </c>
      <c r="D27" s="6" t="s">
        <v>40</v>
      </c>
      <c r="E27" s="6" t="s">
        <v>67</v>
      </c>
      <c r="F27" s="6" t="s">
        <v>68</v>
      </c>
      <c r="G27" s="6" t="s">
        <v>28</v>
      </c>
      <c r="H27" s="6" t="s">
        <v>94</v>
      </c>
      <c r="I27" s="6" t="s">
        <v>30</v>
      </c>
      <c r="J27" s="6" t="s">
        <v>55</v>
      </c>
      <c r="K27" s="6" t="s">
        <v>77</v>
      </c>
      <c r="L27" s="6" t="s">
        <v>78</v>
      </c>
      <c r="M27" s="24">
        <v>8994.44</v>
      </c>
      <c r="N27" s="4" t="str">
        <f t="shared" si="0"/>
        <v>High Sales</v>
      </c>
      <c r="O27" s="6">
        <v>8</v>
      </c>
      <c r="P27" s="8">
        <v>0.2</v>
      </c>
      <c r="Q27" s="28">
        <v>586.79</v>
      </c>
    </row>
    <row r="28" spans="1:17" x14ac:dyDescent="0.5">
      <c r="A28" s="2" t="s">
        <v>125</v>
      </c>
      <c r="B28" s="3">
        <v>44993</v>
      </c>
      <c r="C28" s="3">
        <v>44999</v>
      </c>
      <c r="D28" s="2" t="s">
        <v>46</v>
      </c>
      <c r="E28" s="2" t="s">
        <v>34</v>
      </c>
      <c r="F28" s="2" t="s">
        <v>35</v>
      </c>
      <c r="G28" s="2" t="s">
        <v>20</v>
      </c>
      <c r="H28" s="2" t="s">
        <v>94</v>
      </c>
      <c r="I28" s="2" t="s">
        <v>30</v>
      </c>
      <c r="J28" s="2" t="s">
        <v>83</v>
      </c>
      <c r="K28" s="2" t="s">
        <v>115</v>
      </c>
      <c r="L28" s="2" t="s">
        <v>126</v>
      </c>
      <c r="M28" s="23">
        <v>29056.35</v>
      </c>
      <c r="N28" s="4" t="str">
        <f t="shared" si="0"/>
        <v>High Sales</v>
      </c>
      <c r="O28" s="2">
        <v>9</v>
      </c>
      <c r="P28" s="5">
        <v>0.1</v>
      </c>
      <c r="Q28" s="27">
        <v>1537.11</v>
      </c>
    </row>
    <row r="29" spans="1:17" x14ac:dyDescent="0.5">
      <c r="A29" s="6" t="s">
        <v>127</v>
      </c>
      <c r="B29" s="7">
        <v>45225</v>
      </c>
      <c r="C29" s="7">
        <v>45230</v>
      </c>
      <c r="D29" s="6" t="s">
        <v>40</v>
      </c>
      <c r="E29" s="6" t="s">
        <v>92</v>
      </c>
      <c r="F29" s="6" t="s">
        <v>93</v>
      </c>
      <c r="G29" s="6" t="s">
        <v>28</v>
      </c>
      <c r="H29" s="6" t="s">
        <v>43</v>
      </c>
      <c r="I29" s="6" t="s">
        <v>22</v>
      </c>
      <c r="J29" s="6" t="s">
        <v>23</v>
      </c>
      <c r="K29" s="6" t="s">
        <v>37</v>
      </c>
      <c r="L29" s="6" t="s">
        <v>128</v>
      </c>
      <c r="M29" s="24">
        <v>1343.71</v>
      </c>
      <c r="N29" s="4" t="str">
        <f t="shared" si="0"/>
        <v>Low Sales</v>
      </c>
      <c r="O29" s="6">
        <v>1</v>
      </c>
      <c r="P29" s="8">
        <v>0.2</v>
      </c>
      <c r="Q29" s="28">
        <v>459.09</v>
      </c>
    </row>
    <row r="30" spans="1:17" x14ac:dyDescent="0.5">
      <c r="A30" s="2" t="s">
        <v>129</v>
      </c>
      <c r="B30" s="3">
        <v>45108</v>
      </c>
      <c r="C30" s="3">
        <v>45115</v>
      </c>
      <c r="D30" s="2" t="s">
        <v>27</v>
      </c>
      <c r="E30" s="2" t="s">
        <v>81</v>
      </c>
      <c r="F30" s="2" t="s">
        <v>82</v>
      </c>
      <c r="G30" s="2" t="s">
        <v>28</v>
      </c>
      <c r="H30" s="2" t="s">
        <v>74</v>
      </c>
      <c r="I30" s="2" t="s">
        <v>30</v>
      </c>
      <c r="J30" s="2" t="s">
        <v>55</v>
      </c>
      <c r="K30" s="2" t="s">
        <v>69</v>
      </c>
      <c r="L30" s="2" t="s">
        <v>109</v>
      </c>
      <c r="M30" s="23">
        <v>13931</v>
      </c>
      <c r="N30" s="4" t="str">
        <f t="shared" si="0"/>
        <v>High Sales</v>
      </c>
      <c r="O30" s="2">
        <v>3</v>
      </c>
      <c r="P30" s="5">
        <v>0</v>
      </c>
      <c r="Q30" s="27">
        <v>4310</v>
      </c>
    </row>
    <row r="31" spans="1:17" x14ac:dyDescent="0.5">
      <c r="A31" s="6" t="s">
        <v>130</v>
      </c>
      <c r="B31" s="7">
        <v>45137</v>
      </c>
      <c r="C31" s="7">
        <v>45144</v>
      </c>
      <c r="D31" s="6" t="s">
        <v>27</v>
      </c>
      <c r="E31" s="6" t="s">
        <v>92</v>
      </c>
      <c r="F31" s="6" t="s">
        <v>93</v>
      </c>
      <c r="G31" s="6" t="s">
        <v>28</v>
      </c>
      <c r="H31" s="6" t="s">
        <v>43</v>
      </c>
      <c r="I31" s="6" t="s">
        <v>61</v>
      </c>
      <c r="J31" s="6" t="s">
        <v>55</v>
      </c>
      <c r="K31" s="6" t="s">
        <v>89</v>
      </c>
      <c r="L31" s="6" t="s">
        <v>90</v>
      </c>
      <c r="M31" s="24">
        <v>11938.19</v>
      </c>
      <c r="N31" s="4" t="str">
        <f t="shared" si="0"/>
        <v>High Sales</v>
      </c>
      <c r="O31" s="6">
        <v>3</v>
      </c>
      <c r="P31" s="8">
        <v>0</v>
      </c>
      <c r="Q31" s="28">
        <v>1966.97</v>
      </c>
    </row>
    <row r="32" spans="1:17" x14ac:dyDescent="0.5">
      <c r="A32" s="2" t="s">
        <v>131</v>
      </c>
      <c r="B32" s="3">
        <v>45106</v>
      </c>
      <c r="C32" s="3">
        <v>45109</v>
      </c>
      <c r="D32" s="2" t="s">
        <v>40</v>
      </c>
      <c r="E32" s="2" t="s">
        <v>132</v>
      </c>
      <c r="F32" s="2" t="s">
        <v>133</v>
      </c>
      <c r="G32" s="2" t="s">
        <v>20</v>
      </c>
      <c r="H32" s="2" t="s">
        <v>21</v>
      </c>
      <c r="I32" s="2" t="s">
        <v>30</v>
      </c>
      <c r="J32" s="2" t="s">
        <v>23</v>
      </c>
      <c r="K32" s="2" t="s">
        <v>31</v>
      </c>
      <c r="L32" s="2" t="s">
        <v>134</v>
      </c>
      <c r="M32" s="23">
        <v>8450.5499999999993</v>
      </c>
      <c r="N32" s="4" t="str">
        <f t="shared" si="0"/>
        <v>High Sales</v>
      </c>
      <c r="O32" s="2">
        <v>4</v>
      </c>
      <c r="P32" s="5">
        <v>0</v>
      </c>
      <c r="Q32" s="27">
        <v>2613.8000000000002</v>
      </c>
    </row>
    <row r="33" spans="1:17" x14ac:dyDescent="0.5">
      <c r="A33" s="6" t="s">
        <v>135</v>
      </c>
      <c r="B33" s="7">
        <v>44941</v>
      </c>
      <c r="C33" s="7">
        <v>44942</v>
      </c>
      <c r="D33" s="6" t="s">
        <v>27</v>
      </c>
      <c r="E33" s="6" t="s">
        <v>59</v>
      </c>
      <c r="F33" s="6" t="s">
        <v>60</v>
      </c>
      <c r="G33" s="6" t="s">
        <v>20</v>
      </c>
      <c r="H33" s="6" t="s">
        <v>100</v>
      </c>
      <c r="I33" s="6" t="s">
        <v>61</v>
      </c>
      <c r="J33" s="6" t="s">
        <v>83</v>
      </c>
      <c r="K33" s="6" t="s">
        <v>115</v>
      </c>
      <c r="L33" s="6" t="s">
        <v>136</v>
      </c>
      <c r="M33" s="24">
        <v>1726.36</v>
      </c>
      <c r="N33" s="4" t="str">
        <f t="shared" si="0"/>
        <v>Low Sales</v>
      </c>
      <c r="O33" s="6">
        <v>5</v>
      </c>
      <c r="P33" s="8">
        <v>0.1</v>
      </c>
      <c r="Q33" s="28">
        <v>311.38</v>
      </c>
    </row>
    <row r="34" spans="1:17" x14ac:dyDescent="0.5">
      <c r="A34" s="2" t="s">
        <v>137</v>
      </c>
      <c r="B34" s="3">
        <v>45222</v>
      </c>
      <c r="C34" s="3">
        <v>45224</v>
      </c>
      <c r="D34" s="2" t="s">
        <v>40</v>
      </c>
      <c r="E34" s="2" t="s">
        <v>138</v>
      </c>
      <c r="F34" s="2" t="s">
        <v>139</v>
      </c>
      <c r="G34" s="2" t="s">
        <v>49</v>
      </c>
      <c r="H34" s="2" t="s">
        <v>100</v>
      </c>
      <c r="I34" s="2" t="s">
        <v>30</v>
      </c>
      <c r="J34" s="2" t="s">
        <v>83</v>
      </c>
      <c r="K34" s="2" t="s">
        <v>84</v>
      </c>
      <c r="L34" s="2" t="s">
        <v>140</v>
      </c>
      <c r="M34" s="23">
        <v>2156.4899999999998</v>
      </c>
      <c r="N34" s="4" t="str">
        <f t="shared" si="0"/>
        <v>Low Sales</v>
      </c>
      <c r="O34" s="2">
        <v>1</v>
      </c>
      <c r="P34" s="5">
        <v>0.2</v>
      </c>
      <c r="Q34" s="27">
        <v>456.17</v>
      </c>
    </row>
    <row r="35" spans="1:17" x14ac:dyDescent="0.5">
      <c r="A35" s="6" t="s">
        <v>141</v>
      </c>
      <c r="B35" s="7">
        <v>45246</v>
      </c>
      <c r="C35" s="7">
        <v>45249</v>
      </c>
      <c r="D35" s="6" t="s">
        <v>46</v>
      </c>
      <c r="E35" s="6" t="s">
        <v>41</v>
      </c>
      <c r="F35" s="6" t="s">
        <v>42</v>
      </c>
      <c r="G35" s="6" t="s">
        <v>28</v>
      </c>
      <c r="H35" s="6" t="s">
        <v>21</v>
      </c>
      <c r="I35" s="6" t="s">
        <v>61</v>
      </c>
      <c r="J35" s="6" t="s">
        <v>55</v>
      </c>
      <c r="K35" s="6" t="s">
        <v>56</v>
      </c>
      <c r="L35" s="6" t="s">
        <v>142</v>
      </c>
      <c r="M35" s="24">
        <v>14403.04</v>
      </c>
      <c r="N35" s="4" t="str">
        <f t="shared" si="0"/>
        <v>High Sales</v>
      </c>
      <c r="O35" s="6">
        <v>9</v>
      </c>
      <c r="P35" s="8">
        <v>0.05</v>
      </c>
      <c r="Q35" s="28">
        <v>2129.56</v>
      </c>
    </row>
    <row r="36" spans="1:17" x14ac:dyDescent="0.5">
      <c r="A36" s="2" t="s">
        <v>143</v>
      </c>
      <c r="B36" s="3">
        <v>45273</v>
      </c>
      <c r="C36" s="3">
        <v>45279</v>
      </c>
      <c r="D36" s="2" t="s">
        <v>46</v>
      </c>
      <c r="E36" s="2" t="s">
        <v>41</v>
      </c>
      <c r="F36" s="2" t="s">
        <v>42</v>
      </c>
      <c r="G36" s="2" t="s">
        <v>49</v>
      </c>
      <c r="H36" s="2" t="s">
        <v>36</v>
      </c>
      <c r="I36" s="2" t="s">
        <v>61</v>
      </c>
      <c r="J36" s="2" t="s">
        <v>23</v>
      </c>
      <c r="K36" s="2" t="s">
        <v>95</v>
      </c>
      <c r="L36" s="2" t="s">
        <v>96</v>
      </c>
      <c r="M36" s="23">
        <v>8596.64</v>
      </c>
      <c r="N36" s="4" t="str">
        <f t="shared" si="0"/>
        <v>High Sales</v>
      </c>
      <c r="O36" s="2">
        <v>5</v>
      </c>
      <c r="P36" s="5">
        <v>0.2</v>
      </c>
      <c r="Q36" s="27">
        <v>430.88</v>
      </c>
    </row>
    <row r="37" spans="1:17" x14ac:dyDescent="0.5">
      <c r="A37" s="6" t="s">
        <v>144</v>
      </c>
      <c r="B37" s="7">
        <v>45153</v>
      </c>
      <c r="C37" s="7">
        <v>45157</v>
      </c>
      <c r="D37" s="6" t="s">
        <v>40</v>
      </c>
      <c r="E37" s="6" t="s">
        <v>34</v>
      </c>
      <c r="F37" s="6" t="s">
        <v>35</v>
      </c>
      <c r="G37" s="6" t="s">
        <v>20</v>
      </c>
      <c r="H37" s="6" t="s">
        <v>36</v>
      </c>
      <c r="I37" s="6" t="s">
        <v>22</v>
      </c>
      <c r="J37" s="6" t="s">
        <v>55</v>
      </c>
      <c r="K37" s="6" t="s">
        <v>89</v>
      </c>
      <c r="L37" s="6" t="s">
        <v>111</v>
      </c>
      <c r="M37" s="24">
        <v>25663.55</v>
      </c>
      <c r="N37" s="4" t="str">
        <f t="shared" si="0"/>
        <v>High Sales</v>
      </c>
      <c r="O37" s="6">
        <v>8</v>
      </c>
      <c r="P37" s="8">
        <v>0.2</v>
      </c>
      <c r="Q37" s="28">
        <v>6949.39</v>
      </c>
    </row>
    <row r="38" spans="1:17" x14ac:dyDescent="0.5">
      <c r="A38" s="2" t="s">
        <v>145</v>
      </c>
      <c r="B38" s="3">
        <v>45047</v>
      </c>
      <c r="C38" s="3">
        <v>45053</v>
      </c>
      <c r="D38" s="2" t="s">
        <v>17</v>
      </c>
      <c r="E38" s="2" t="s">
        <v>146</v>
      </c>
      <c r="F38" s="2" t="s">
        <v>147</v>
      </c>
      <c r="G38" s="2" t="s">
        <v>49</v>
      </c>
      <c r="H38" s="2" t="s">
        <v>21</v>
      </c>
      <c r="I38" s="2" t="s">
        <v>50</v>
      </c>
      <c r="J38" s="2" t="s">
        <v>83</v>
      </c>
      <c r="K38" s="2" t="s">
        <v>115</v>
      </c>
      <c r="L38" s="2" t="s">
        <v>148</v>
      </c>
      <c r="M38" s="23">
        <v>951.73</v>
      </c>
      <c r="N38" s="4" t="str">
        <f t="shared" si="0"/>
        <v>Low Sales</v>
      </c>
      <c r="O38" s="2">
        <v>3</v>
      </c>
      <c r="P38" s="5">
        <v>0</v>
      </c>
      <c r="Q38" s="27">
        <v>328.52</v>
      </c>
    </row>
    <row r="39" spans="1:17" x14ac:dyDescent="0.5">
      <c r="A39" s="6" t="s">
        <v>149</v>
      </c>
      <c r="B39" s="7">
        <v>45283</v>
      </c>
      <c r="C39" s="7">
        <v>45287</v>
      </c>
      <c r="D39" s="6" t="s">
        <v>27</v>
      </c>
      <c r="E39" s="6" t="s">
        <v>72</v>
      </c>
      <c r="F39" s="6" t="s">
        <v>73</v>
      </c>
      <c r="G39" s="6" t="s">
        <v>28</v>
      </c>
      <c r="H39" s="6" t="s">
        <v>74</v>
      </c>
      <c r="I39" s="6" t="s">
        <v>61</v>
      </c>
      <c r="J39" s="6" t="s">
        <v>83</v>
      </c>
      <c r="K39" s="6" t="s">
        <v>150</v>
      </c>
      <c r="L39" s="6" t="s">
        <v>151</v>
      </c>
      <c r="M39" s="24">
        <v>10047.24</v>
      </c>
      <c r="N39" s="4" t="str">
        <f t="shared" si="0"/>
        <v>High Sales</v>
      </c>
      <c r="O39" s="6">
        <v>3</v>
      </c>
      <c r="P39" s="8">
        <v>0</v>
      </c>
      <c r="Q39" s="28">
        <v>3192.99</v>
      </c>
    </row>
    <row r="40" spans="1:17" x14ac:dyDescent="0.5">
      <c r="A40" s="2" t="s">
        <v>152</v>
      </c>
      <c r="B40" s="3">
        <v>44952</v>
      </c>
      <c r="C40" s="3">
        <v>44957</v>
      </c>
      <c r="D40" s="2" t="s">
        <v>40</v>
      </c>
      <c r="E40" s="2" t="s">
        <v>18</v>
      </c>
      <c r="F40" s="2" t="s">
        <v>19</v>
      </c>
      <c r="G40" s="2" t="s">
        <v>49</v>
      </c>
      <c r="H40" s="2" t="s">
        <v>21</v>
      </c>
      <c r="I40" s="2" t="s">
        <v>61</v>
      </c>
      <c r="J40" s="2" t="s">
        <v>23</v>
      </c>
      <c r="K40" s="2" t="s">
        <v>103</v>
      </c>
      <c r="L40" s="2" t="s">
        <v>153</v>
      </c>
      <c r="M40" s="23">
        <v>10319.34</v>
      </c>
      <c r="N40" s="4" t="str">
        <f t="shared" si="0"/>
        <v>High Sales</v>
      </c>
      <c r="O40" s="2">
        <v>3</v>
      </c>
      <c r="P40" s="5">
        <v>0.15</v>
      </c>
      <c r="Q40" s="27">
        <v>2160.25</v>
      </c>
    </row>
    <row r="41" spans="1:17" x14ac:dyDescent="0.5">
      <c r="A41" s="6" t="s">
        <v>154</v>
      </c>
      <c r="B41" s="7">
        <v>45008</v>
      </c>
      <c r="C41" s="7">
        <v>45014</v>
      </c>
      <c r="D41" s="6" t="s">
        <v>27</v>
      </c>
      <c r="E41" s="6" t="s">
        <v>87</v>
      </c>
      <c r="F41" s="6" t="s">
        <v>88</v>
      </c>
      <c r="G41" s="6" t="s">
        <v>20</v>
      </c>
      <c r="H41" s="6" t="s">
        <v>43</v>
      </c>
      <c r="I41" s="6" t="s">
        <v>30</v>
      </c>
      <c r="J41" s="6" t="s">
        <v>83</v>
      </c>
      <c r="K41" s="6" t="s">
        <v>150</v>
      </c>
      <c r="L41" s="6" t="s">
        <v>155</v>
      </c>
      <c r="M41" s="24">
        <v>16925.37</v>
      </c>
      <c r="N41" s="4" t="str">
        <f t="shared" si="0"/>
        <v>High Sales</v>
      </c>
      <c r="O41" s="6">
        <v>4</v>
      </c>
      <c r="P41" s="8">
        <v>0</v>
      </c>
      <c r="Q41" s="28">
        <v>4734.7700000000004</v>
      </c>
    </row>
    <row r="42" spans="1:17" x14ac:dyDescent="0.5">
      <c r="A42" s="2" t="s">
        <v>156</v>
      </c>
      <c r="B42" s="3">
        <v>45152</v>
      </c>
      <c r="C42" s="3">
        <v>45153</v>
      </c>
      <c r="D42" s="2" t="s">
        <v>46</v>
      </c>
      <c r="E42" s="2" t="s">
        <v>121</v>
      </c>
      <c r="F42" s="2" t="s">
        <v>122</v>
      </c>
      <c r="G42" s="2" t="s">
        <v>49</v>
      </c>
      <c r="H42" s="2" t="s">
        <v>74</v>
      </c>
      <c r="I42" s="2" t="s">
        <v>50</v>
      </c>
      <c r="J42" s="2" t="s">
        <v>55</v>
      </c>
      <c r="K42" s="2" t="s">
        <v>77</v>
      </c>
      <c r="L42" s="2" t="s">
        <v>119</v>
      </c>
      <c r="M42" s="23">
        <v>8154.31</v>
      </c>
      <c r="N42" s="4" t="str">
        <f t="shared" si="0"/>
        <v>High Sales</v>
      </c>
      <c r="O42" s="2">
        <v>5</v>
      </c>
      <c r="P42" s="5">
        <v>0.1</v>
      </c>
      <c r="Q42" s="27">
        <v>604.83000000000004</v>
      </c>
    </row>
    <row r="43" spans="1:17" x14ac:dyDescent="0.5">
      <c r="A43" s="6" t="s">
        <v>157</v>
      </c>
      <c r="B43" s="7">
        <v>44959</v>
      </c>
      <c r="C43" s="7">
        <v>44963</v>
      </c>
      <c r="D43" s="6" t="s">
        <v>17</v>
      </c>
      <c r="E43" s="6" t="s">
        <v>53</v>
      </c>
      <c r="F43" s="6" t="s">
        <v>54</v>
      </c>
      <c r="G43" s="6" t="s">
        <v>20</v>
      </c>
      <c r="H43" s="6" t="s">
        <v>21</v>
      </c>
      <c r="I43" s="6" t="s">
        <v>61</v>
      </c>
      <c r="J43" s="6" t="s">
        <v>83</v>
      </c>
      <c r="K43" s="6" t="s">
        <v>106</v>
      </c>
      <c r="L43" s="6" t="s">
        <v>158</v>
      </c>
      <c r="M43" s="24">
        <v>17565.73</v>
      </c>
      <c r="N43" s="4" t="str">
        <f t="shared" si="0"/>
        <v>High Sales</v>
      </c>
      <c r="O43" s="6">
        <v>8</v>
      </c>
      <c r="P43" s="8">
        <v>0</v>
      </c>
      <c r="Q43" s="28">
        <v>5267.39</v>
      </c>
    </row>
    <row r="44" spans="1:17" x14ac:dyDescent="0.5">
      <c r="A44" s="2" t="s">
        <v>159</v>
      </c>
      <c r="B44" s="3">
        <v>44930</v>
      </c>
      <c r="C44" s="3">
        <v>44933</v>
      </c>
      <c r="D44" s="2" t="s">
        <v>27</v>
      </c>
      <c r="E44" s="2" t="s">
        <v>160</v>
      </c>
      <c r="F44" s="2" t="s">
        <v>161</v>
      </c>
      <c r="G44" s="2" t="s">
        <v>28</v>
      </c>
      <c r="H44" s="2" t="s">
        <v>118</v>
      </c>
      <c r="I44" s="2" t="s">
        <v>61</v>
      </c>
      <c r="J44" s="2" t="s">
        <v>83</v>
      </c>
      <c r="K44" s="2" t="s">
        <v>150</v>
      </c>
      <c r="L44" s="2" t="s">
        <v>162</v>
      </c>
      <c r="M44" s="23">
        <v>30683.41</v>
      </c>
      <c r="N44" s="4" t="str">
        <f t="shared" si="0"/>
        <v>High Sales</v>
      </c>
      <c r="O44" s="2">
        <v>9</v>
      </c>
      <c r="P44" s="5">
        <v>0.1</v>
      </c>
      <c r="Q44" s="27">
        <v>8896.98</v>
      </c>
    </row>
    <row r="45" spans="1:17" x14ac:dyDescent="0.5">
      <c r="A45" s="6" t="s">
        <v>163</v>
      </c>
      <c r="B45" s="7">
        <v>45175</v>
      </c>
      <c r="C45" s="7">
        <v>45176</v>
      </c>
      <c r="D45" s="6" t="s">
        <v>17</v>
      </c>
      <c r="E45" s="6" t="s">
        <v>18</v>
      </c>
      <c r="F45" s="6" t="s">
        <v>19</v>
      </c>
      <c r="G45" s="6" t="s">
        <v>49</v>
      </c>
      <c r="H45" s="6" t="s">
        <v>94</v>
      </c>
      <c r="I45" s="6" t="s">
        <v>22</v>
      </c>
      <c r="J45" s="6" t="s">
        <v>83</v>
      </c>
      <c r="K45" s="6" t="s">
        <v>106</v>
      </c>
      <c r="L45" s="6" t="s">
        <v>107</v>
      </c>
      <c r="M45" s="24">
        <v>12703.28</v>
      </c>
      <c r="N45" s="4" t="str">
        <f t="shared" si="0"/>
        <v>High Sales</v>
      </c>
      <c r="O45" s="6">
        <v>3</v>
      </c>
      <c r="P45" s="8">
        <v>0</v>
      </c>
      <c r="Q45" s="28">
        <v>4372.68</v>
      </c>
    </row>
    <row r="46" spans="1:17" x14ac:dyDescent="0.5">
      <c r="A46" s="2" t="s">
        <v>164</v>
      </c>
      <c r="B46" s="3">
        <v>45256</v>
      </c>
      <c r="C46" s="3">
        <v>45260</v>
      </c>
      <c r="D46" s="2" t="s">
        <v>40</v>
      </c>
      <c r="E46" s="2" t="s">
        <v>59</v>
      </c>
      <c r="F46" s="2" t="s">
        <v>60</v>
      </c>
      <c r="G46" s="2" t="s">
        <v>49</v>
      </c>
      <c r="H46" s="2" t="s">
        <v>118</v>
      </c>
      <c r="I46" s="2" t="s">
        <v>61</v>
      </c>
      <c r="J46" s="2" t="s">
        <v>23</v>
      </c>
      <c r="K46" s="2" t="s">
        <v>37</v>
      </c>
      <c r="L46" s="2" t="s">
        <v>128</v>
      </c>
      <c r="M46" s="23">
        <v>1448.75</v>
      </c>
      <c r="N46" s="4" t="str">
        <f t="shared" si="0"/>
        <v>Low Sales</v>
      </c>
      <c r="O46" s="2">
        <v>1</v>
      </c>
      <c r="P46" s="5">
        <v>0</v>
      </c>
      <c r="Q46" s="27">
        <v>164.43</v>
      </c>
    </row>
    <row r="47" spans="1:17" x14ac:dyDescent="0.5">
      <c r="A47" s="6" t="s">
        <v>165</v>
      </c>
      <c r="B47" s="7">
        <v>45056</v>
      </c>
      <c r="C47" s="7">
        <v>45063</v>
      </c>
      <c r="D47" s="6" t="s">
        <v>17</v>
      </c>
      <c r="E47" s="6" t="s">
        <v>34</v>
      </c>
      <c r="F47" s="6" t="s">
        <v>35</v>
      </c>
      <c r="G47" s="6" t="s">
        <v>28</v>
      </c>
      <c r="H47" s="6" t="s">
        <v>43</v>
      </c>
      <c r="I47" s="6" t="s">
        <v>50</v>
      </c>
      <c r="J47" s="6" t="s">
        <v>23</v>
      </c>
      <c r="K47" s="6" t="s">
        <v>37</v>
      </c>
      <c r="L47" s="6" t="s">
        <v>166</v>
      </c>
      <c r="M47" s="24">
        <v>4050.1</v>
      </c>
      <c r="N47" s="4" t="str">
        <f t="shared" si="0"/>
        <v>High Sales</v>
      </c>
      <c r="O47" s="6">
        <v>9</v>
      </c>
      <c r="P47" s="8">
        <v>0</v>
      </c>
      <c r="Q47" s="28">
        <v>474.94</v>
      </c>
    </row>
    <row r="48" spans="1:17" x14ac:dyDescent="0.5">
      <c r="A48" s="2" t="s">
        <v>167</v>
      </c>
      <c r="B48" s="3">
        <v>44937</v>
      </c>
      <c r="C48" s="3">
        <v>44942</v>
      </c>
      <c r="D48" s="2" t="s">
        <v>40</v>
      </c>
      <c r="E48" s="2" t="s">
        <v>168</v>
      </c>
      <c r="F48" s="2" t="s">
        <v>169</v>
      </c>
      <c r="G48" s="2" t="s">
        <v>49</v>
      </c>
      <c r="H48" s="2" t="s">
        <v>74</v>
      </c>
      <c r="I48" s="2" t="s">
        <v>22</v>
      </c>
      <c r="J48" s="2" t="s">
        <v>23</v>
      </c>
      <c r="K48" s="2" t="s">
        <v>31</v>
      </c>
      <c r="L48" s="2" t="s">
        <v>170</v>
      </c>
      <c r="M48" s="23">
        <v>24576.5</v>
      </c>
      <c r="N48" s="4" t="str">
        <f t="shared" si="0"/>
        <v>High Sales</v>
      </c>
      <c r="O48" s="2">
        <v>8</v>
      </c>
      <c r="P48" s="5">
        <v>0.1</v>
      </c>
      <c r="Q48" s="27">
        <v>8216.59</v>
      </c>
    </row>
    <row r="49" spans="1:17" x14ac:dyDescent="0.5">
      <c r="A49" s="6" t="s">
        <v>171</v>
      </c>
      <c r="B49" s="7">
        <v>45010</v>
      </c>
      <c r="C49" s="7">
        <v>45013</v>
      </c>
      <c r="D49" s="6" t="s">
        <v>17</v>
      </c>
      <c r="E49" s="6" t="s">
        <v>138</v>
      </c>
      <c r="F49" s="6" t="s">
        <v>139</v>
      </c>
      <c r="G49" s="6" t="s">
        <v>20</v>
      </c>
      <c r="H49" s="6" t="s">
        <v>43</v>
      </c>
      <c r="I49" s="6" t="s">
        <v>22</v>
      </c>
      <c r="J49" s="6" t="s">
        <v>23</v>
      </c>
      <c r="K49" s="6" t="s">
        <v>95</v>
      </c>
      <c r="L49" s="6" t="s">
        <v>172</v>
      </c>
      <c r="M49" s="24">
        <v>14078.17</v>
      </c>
      <c r="N49" s="4" t="str">
        <f t="shared" si="0"/>
        <v>High Sales</v>
      </c>
      <c r="O49" s="6">
        <v>5</v>
      </c>
      <c r="P49" s="8">
        <v>0.05</v>
      </c>
      <c r="Q49" s="28">
        <v>2379.16</v>
      </c>
    </row>
    <row r="50" spans="1:17" x14ac:dyDescent="0.5">
      <c r="A50" s="2" t="s">
        <v>173</v>
      </c>
      <c r="B50" s="3">
        <v>45283</v>
      </c>
      <c r="C50" s="3">
        <v>45290</v>
      </c>
      <c r="D50" s="2" t="s">
        <v>17</v>
      </c>
      <c r="E50" s="2" t="s">
        <v>47</v>
      </c>
      <c r="F50" s="2" t="s">
        <v>48</v>
      </c>
      <c r="G50" s="2" t="s">
        <v>20</v>
      </c>
      <c r="H50" s="2" t="s">
        <v>36</v>
      </c>
      <c r="I50" s="2" t="s">
        <v>22</v>
      </c>
      <c r="J50" s="2" t="s">
        <v>83</v>
      </c>
      <c r="K50" s="2" t="s">
        <v>174</v>
      </c>
      <c r="L50" s="2" t="s">
        <v>175</v>
      </c>
      <c r="M50" s="23">
        <v>39566.5</v>
      </c>
      <c r="N50" s="4" t="str">
        <f t="shared" si="0"/>
        <v>High Sales</v>
      </c>
      <c r="O50" s="2">
        <v>10</v>
      </c>
      <c r="P50" s="5">
        <v>0</v>
      </c>
      <c r="Q50" s="27">
        <v>8301.98</v>
      </c>
    </row>
    <row r="51" spans="1:17" x14ac:dyDescent="0.5">
      <c r="A51" s="6" t="s">
        <v>176</v>
      </c>
      <c r="B51" s="7">
        <v>45142</v>
      </c>
      <c r="C51" s="7">
        <v>45149</v>
      </c>
      <c r="D51" s="6" t="s">
        <v>27</v>
      </c>
      <c r="E51" s="6" t="s">
        <v>121</v>
      </c>
      <c r="F51" s="6" t="s">
        <v>122</v>
      </c>
      <c r="G51" s="6" t="s">
        <v>28</v>
      </c>
      <c r="H51" s="6" t="s">
        <v>118</v>
      </c>
      <c r="I51" s="6" t="s">
        <v>61</v>
      </c>
      <c r="J51" s="6" t="s">
        <v>83</v>
      </c>
      <c r="K51" s="6" t="s">
        <v>84</v>
      </c>
      <c r="L51" s="6" t="s">
        <v>140</v>
      </c>
      <c r="M51" s="24">
        <v>15603.88</v>
      </c>
      <c r="N51" s="4" t="str">
        <f t="shared" si="0"/>
        <v>High Sales</v>
      </c>
      <c r="O51" s="6">
        <v>6</v>
      </c>
      <c r="P51" s="8">
        <v>0.2</v>
      </c>
      <c r="Q51" s="28">
        <v>2932.31</v>
      </c>
    </row>
    <row r="52" spans="1:17" x14ac:dyDescent="0.5">
      <c r="A52" s="2" t="s">
        <v>177</v>
      </c>
      <c r="B52" s="3">
        <v>45165</v>
      </c>
      <c r="C52" s="3">
        <v>45169</v>
      </c>
      <c r="D52" s="2" t="s">
        <v>27</v>
      </c>
      <c r="E52" s="2" t="s">
        <v>132</v>
      </c>
      <c r="F52" s="2" t="s">
        <v>133</v>
      </c>
      <c r="G52" s="2" t="s">
        <v>28</v>
      </c>
      <c r="H52" s="2" t="s">
        <v>29</v>
      </c>
      <c r="I52" s="2" t="s">
        <v>61</v>
      </c>
      <c r="J52" s="2" t="s">
        <v>55</v>
      </c>
      <c r="K52" s="2" t="s">
        <v>178</v>
      </c>
      <c r="L52" s="2" t="s">
        <v>179</v>
      </c>
      <c r="M52" s="23">
        <v>20583.47</v>
      </c>
      <c r="N52" s="4" t="str">
        <f t="shared" si="0"/>
        <v>High Sales</v>
      </c>
      <c r="O52" s="2">
        <v>6</v>
      </c>
      <c r="P52" s="5">
        <v>0.2</v>
      </c>
      <c r="Q52" s="27">
        <v>6800.5</v>
      </c>
    </row>
    <row r="53" spans="1:17" x14ac:dyDescent="0.5">
      <c r="A53" s="6" t="s">
        <v>180</v>
      </c>
      <c r="B53" s="7">
        <v>45099</v>
      </c>
      <c r="C53" s="7">
        <v>45100</v>
      </c>
      <c r="D53" s="6" t="s">
        <v>40</v>
      </c>
      <c r="E53" s="6" t="s">
        <v>132</v>
      </c>
      <c r="F53" s="6" t="s">
        <v>133</v>
      </c>
      <c r="G53" s="6" t="s">
        <v>20</v>
      </c>
      <c r="H53" s="6" t="s">
        <v>94</v>
      </c>
      <c r="I53" s="6" t="s">
        <v>50</v>
      </c>
      <c r="J53" s="6" t="s">
        <v>83</v>
      </c>
      <c r="K53" s="6" t="s">
        <v>106</v>
      </c>
      <c r="L53" s="6" t="s">
        <v>181</v>
      </c>
      <c r="M53" s="24">
        <v>7796.32</v>
      </c>
      <c r="N53" s="4" t="str">
        <f t="shared" si="0"/>
        <v>High Sales</v>
      </c>
      <c r="O53" s="6">
        <v>8</v>
      </c>
      <c r="P53" s="8">
        <v>0.2</v>
      </c>
      <c r="Q53" s="28">
        <v>994.08</v>
      </c>
    </row>
    <row r="54" spans="1:17" x14ac:dyDescent="0.5">
      <c r="A54" s="2" t="s">
        <v>182</v>
      </c>
      <c r="B54" s="3">
        <v>44970</v>
      </c>
      <c r="C54" s="3">
        <v>44972</v>
      </c>
      <c r="D54" s="2" t="s">
        <v>27</v>
      </c>
      <c r="E54" s="2" t="s">
        <v>183</v>
      </c>
      <c r="F54" s="2" t="s">
        <v>184</v>
      </c>
      <c r="G54" s="2" t="s">
        <v>28</v>
      </c>
      <c r="H54" s="2" t="s">
        <v>100</v>
      </c>
      <c r="I54" s="2" t="s">
        <v>30</v>
      </c>
      <c r="J54" s="2" t="s">
        <v>55</v>
      </c>
      <c r="K54" s="2" t="s">
        <v>69</v>
      </c>
      <c r="L54" s="2" t="s">
        <v>185</v>
      </c>
      <c r="M54" s="23">
        <v>29369.81</v>
      </c>
      <c r="N54" s="4" t="str">
        <f t="shared" si="0"/>
        <v>High Sales</v>
      </c>
      <c r="O54" s="2">
        <v>9</v>
      </c>
      <c r="P54" s="5">
        <v>0.15</v>
      </c>
      <c r="Q54" s="27">
        <v>5663.32</v>
      </c>
    </row>
    <row r="55" spans="1:17" x14ac:dyDescent="0.5">
      <c r="A55" s="6" t="s">
        <v>186</v>
      </c>
      <c r="B55" s="7">
        <v>45040</v>
      </c>
      <c r="C55" s="7">
        <v>45044</v>
      </c>
      <c r="D55" s="6" t="s">
        <v>40</v>
      </c>
      <c r="E55" s="6" t="s">
        <v>67</v>
      </c>
      <c r="F55" s="6" t="s">
        <v>68</v>
      </c>
      <c r="G55" s="6" t="s">
        <v>49</v>
      </c>
      <c r="H55" s="6" t="s">
        <v>29</v>
      </c>
      <c r="I55" s="6" t="s">
        <v>30</v>
      </c>
      <c r="J55" s="6" t="s">
        <v>55</v>
      </c>
      <c r="K55" s="6" t="s">
        <v>89</v>
      </c>
      <c r="L55" s="6" t="s">
        <v>90</v>
      </c>
      <c r="M55" s="24">
        <v>17741.68</v>
      </c>
      <c r="N55" s="4" t="str">
        <f t="shared" si="0"/>
        <v>High Sales</v>
      </c>
      <c r="O55" s="6">
        <v>10</v>
      </c>
      <c r="P55" s="8">
        <v>0.1</v>
      </c>
      <c r="Q55" s="28">
        <v>3712.92</v>
      </c>
    </row>
    <row r="56" spans="1:17" x14ac:dyDescent="0.5">
      <c r="A56" s="2" t="s">
        <v>187</v>
      </c>
      <c r="B56" s="3">
        <v>45083</v>
      </c>
      <c r="C56" s="3">
        <v>45086</v>
      </c>
      <c r="D56" s="2" t="s">
        <v>46</v>
      </c>
      <c r="E56" s="2" t="s">
        <v>81</v>
      </c>
      <c r="F56" s="2" t="s">
        <v>82</v>
      </c>
      <c r="G56" s="2" t="s">
        <v>28</v>
      </c>
      <c r="H56" s="2" t="s">
        <v>29</v>
      </c>
      <c r="I56" s="2" t="s">
        <v>30</v>
      </c>
      <c r="J56" s="2" t="s">
        <v>23</v>
      </c>
      <c r="K56" s="2" t="s">
        <v>103</v>
      </c>
      <c r="L56" s="2" t="s">
        <v>104</v>
      </c>
      <c r="M56" s="23">
        <v>4178.8599999999997</v>
      </c>
      <c r="N56" s="4" t="str">
        <f t="shared" si="0"/>
        <v>High Sales</v>
      </c>
      <c r="O56" s="2">
        <v>6</v>
      </c>
      <c r="P56" s="5">
        <v>0.1</v>
      </c>
      <c r="Q56" s="27">
        <v>1401.02</v>
      </c>
    </row>
    <row r="57" spans="1:17" x14ac:dyDescent="0.5">
      <c r="A57" s="6" t="s">
        <v>188</v>
      </c>
      <c r="B57" s="7">
        <v>45228</v>
      </c>
      <c r="C57" s="7">
        <v>45235</v>
      </c>
      <c r="D57" s="6" t="s">
        <v>40</v>
      </c>
      <c r="E57" s="6" t="s">
        <v>81</v>
      </c>
      <c r="F57" s="6" t="s">
        <v>82</v>
      </c>
      <c r="G57" s="6" t="s">
        <v>28</v>
      </c>
      <c r="H57" s="6" t="s">
        <v>74</v>
      </c>
      <c r="I57" s="6" t="s">
        <v>30</v>
      </c>
      <c r="J57" s="6" t="s">
        <v>55</v>
      </c>
      <c r="K57" s="6" t="s">
        <v>178</v>
      </c>
      <c r="L57" s="6" t="s">
        <v>179</v>
      </c>
      <c r="M57" s="24">
        <v>8393.23</v>
      </c>
      <c r="N57" s="4" t="str">
        <f t="shared" si="0"/>
        <v>High Sales</v>
      </c>
      <c r="O57" s="6">
        <v>2</v>
      </c>
      <c r="P57" s="8">
        <v>0</v>
      </c>
      <c r="Q57" s="28">
        <v>992.46</v>
      </c>
    </row>
    <row r="58" spans="1:17" x14ac:dyDescent="0.5">
      <c r="A58" s="2" t="s">
        <v>189</v>
      </c>
      <c r="B58" s="3">
        <v>44950</v>
      </c>
      <c r="C58" s="3">
        <v>44951</v>
      </c>
      <c r="D58" s="2" t="s">
        <v>27</v>
      </c>
      <c r="E58" s="2" t="s">
        <v>183</v>
      </c>
      <c r="F58" s="2" t="s">
        <v>184</v>
      </c>
      <c r="G58" s="2" t="s">
        <v>49</v>
      </c>
      <c r="H58" s="2" t="s">
        <v>36</v>
      </c>
      <c r="I58" s="2" t="s">
        <v>50</v>
      </c>
      <c r="J58" s="2" t="s">
        <v>55</v>
      </c>
      <c r="K58" s="2" t="s">
        <v>77</v>
      </c>
      <c r="L58" s="2" t="s">
        <v>119</v>
      </c>
      <c r="M58" s="23">
        <v>5539.37</v>
      </c>
      <c r="N58" s="4" t="str">
        <f t="shared" si="0"/>
        <v>High Sales</v>
      </c>
      <c r="O58" s="2">
        <v>8</v>
      </c>
      <c r="P58" s="5">
        <v>0</v>
      </c>
      <c r="Q58" s="27">
        <v>1230.95</v>
      </c>
    </row>
    <row r="59" spans="1:17" x14ac:dyDescent="0.5">
      <c r="A59" s="6" t="s">
        <v>190</v>
      </c>
      <c r="B59" s="7">
        <v>44953</v>
      </c>
      <c r="C59" s="7">
        <v>44956</v>
      </c>
      <c r="D59" s="6" t="s">
        <v>46</v>
      </c>
      <c r="E59" s="6" t="s">
        <v>92</v>
      </c>
      <c r="F59" s="6" t="s">
        <v>93</v>
      </c>
      <c r="G59" s="6" t="s">
        <v>28</v>
      </c>
      <c r="H59" s="6" t="s">
        <v>118</v>
      </c>
      <c r="I59" s="6" t="s">
        <v>22</v>
      </c>
      <c r="J59" s="6" t="s">
        <v>83</v>
      </c>
      <c r="K59" s="6" t="s">
        <v>84</v>
      </c>
      <c r="L59" s="6" t="s">
        <v>191</v>
      </c>
      <c r="M59" s="24">
        <v>16130.42</v>
      </c>
      <c r="N59" s="4" t="str">
        <f t="shared" si="0"/>
        <v>High Sales</v>
      </c>
      <c r="O59" s="6">
        <v>7</v>
      </c>
      <c r="P59" s="8">
        <v>0.1</v>
      </c>
      <c r="Q59" s="28">
        <v>3852.49</v>
      </c>
    </row>
    <row r="60" spans="1:17" x14ac:dyDescent="0.5">
      <c r="A60" s="2" t="s">
        <v>192</v>
      </c>
      <c r="B60" s="3">
        <v>45054</v>
      </c>
      <c r="C60" s="3">
        <v>45055</v>
      </c>
      <c r="D60" s="2" t="s">
        <v>27</v>
      </c>
      <c r="E60" s="2" t="s">
        <v>53</v>
      </c>
      <c r="F60" s="2" t="s">
        <v>54</v>
      </c>
      <c r="G60" s="2" t="s">
        <v>49</v>
      </c>
      <c r="H60" s="2" t="s">
        <v>118</v>
      </c>
      <c r="I60" s="2" t="s">
        <v>61</v>
      </c>
      <c r="J60" s="2" t="s">
        <v>55</v>
      </c>
      <c r="K60" s="2" t="s">
        <v>69</v>
      </c>
      <c r="L60" s="2" t="s">
        <v>109</v>
      </c>
      <c r="M60" s="23">
        <v>39955.56</v>
      </c>
      <c r="N60" s="4" t="str">
        <f t="shared" si="0"/>
        <v>High Sales</v>
      </c>
      <c r="O60" s="2">
        <v>10</v>
      </c>
      <c r="P60" s="5">
        <v>0</v>
      </c>
      <c r="Q60" s="27">
        <v>11295.76</v>
      </c>
    </row>
    <row r="61" spans="1:17" x14ac:dyDescent="0.5">
      <c r="A61" s="6" t="s">
        <v>193</v>
      </c>
      <c r="B61" s="7">
        <v>45083</v>
      </c>
      <c r="C61" s="7">
        <v>45088</v>
      </c>
      <c r="D61" s="6" t="s">
        <v>17</v>
      </c>
      <c r="E61" s="6" t="s">
        <v>132</v>
      </c>
      <c r="F61" s="6" t="s">
        <v>133</v>
      </c>
      <c r="G61" s="6" t="s">
        <v>28</v>
      </c>
      <c r="H61" s="6" t="s">
        <v>43</v>
      </c>
      <c r="I61" s="6" t="s">
        <v>50</v>
      </c>
      <c r="J61" s="6" t="s">
        <v>55</v>
      </c>
      <c r="K61" s="6" t="s">
        <v>56</v>
      </c>
      <c r="L61" s="6" t="s">
        <v>57</v>
      </c>
      <c r="M61" s="24">
        <v>9496.8700000000008</v>
      </c>
      <c r="N61" s="4" t="str">
        <f t="shared" si="0"/>
        <v>High Sales</v>
      </c>
      <c r="O61" s="6">
        <v>2</v>
      </c>
      <c r="P61" s="8">
        <v>0</v>
      </c>
      <c r="Q61" s="28">
        <v>2256.9699999999998</v>
      </c>
    </row>
    <row r="62" spans="1:17" x14ac:dyDescent="0.5">
      <c r="A62" s="2" t="s">
        <v>194</v>
      </c>
      <c r="B62" s="3">
        <v>45209</v>
      </c>
      <c r="C62" s="3">
        <v>45210</v>
      </c>
      <c r="D62" s="2" t="s">
        <v>40</v>
      </c>
      <c r="E62" s="2" t="s">
        <v>160</v>
      </c>
      <c r="F62" s="2" t="s">
        <v>161</v>
      </c>
      <c r="G62" s="2" t="s">
        <v>20</v>
      </c>
      <c r="H62" s="2" t="s">
        <v>118</v>
      </c>
      <c r="I62" s="2" t="s">
        <v>61</v>
      </c>
      <c r="J62" s="2" t="s">
        <v>23</v>
      </c>
      <c r="K62" s="2" t="s">
        <v>103</v>
      </c>
      <c r="L62" s="2" t="s">
        <v>153</v>
      </c>
      <c r="M62" s="23">
        <v>26668.26</v>
      </c>
      <c r="N62" s="4" t="str">
        <f t="shared" si="0"/>
        <v>High Sales</v>
      </c>
      <c r="O62" s="2">
        <v>8</v>
      </c>
      <c r="P62" s="5">
        <v>0.05</v>
      </c>
      <c r="Q62" s="27">
        <v>3663.63</v>
      </c>
    </row>
    <row r="63" spans="1:17" x14ac:dyDescent="0.5">
      <c r="A63" s="6" t="s">
        <v>195</v>
      </c>
      <c r="B63" s="7">
        <v>44963</v>
      </c>
      <c r="C63" s="7">
        <v>44969</v>
      </c>
      <c r="D63" s="6" t="s">
        <v>40</v>
      </c>
      <c r="E63" s="6" t="s">
        <v>121</v>
      </c>
      <c r="F63" s="6" t="s">
        <v>122</v>
      </c>
      <c r="G63" s="6" t="s">
        <v>28</v>
      </c>
      <c r="H63" s="6" t="s">
        <v>100</v>
      </c>
      <c r="I63" s="6" t="s">
        <v>22</v>
      </c>
      <c r="J63" s="6" t="s">
        <v>23</v>
      </c>
      <c r="K63" s="6" t="s">
        <v>24</v>
      </c>
      <c r="L63" s="6" t="s">
        <v>196</v>
      </c>
      <c r="M63" s="24">
        <v>8066.4</v>
      </c>
      <c r="N63" s="4" t="str">
        <f t="shared" si="0"/>
        <v>High Sales</v>
      </c>
      <c r="O63" s="6">
        <v>4</v>
      </c>
      <c r="P63" s="8">
        <v>0.1</v>
      </c>
      <c r="Q63" s="28">
        <v>947.34</v>
      </c>
    </row>
    <row r="64" spans="1:17" x14ac:dyDescent="0.5">
      <c r="A64" s="2" t="s">
        <v>197</v>
      </c>
      <c r="B64" s="3">
        <v>45011</v>
      </c>
      <c r="C64" s="3">
        <v>45018</v>
      </c>
      <c r="D64" s="2" t="s">
        <v>40</v>
      </c>
      <c r="E64" s="2" t="s">
        <v>53</v>
      </c>
      <c r="F64" s="2" t="s">
        <v>54</v>
      </c>
      <c r="G64" s="2" t="s">
        <v>20</v>
      </c>
      <c r="H64" s="2" t="s">
        <v>29</v>
      </c>
      <c r="I64" s="2" t="s">
        <v>61</v>
      </c>
      <c r="J64" s="2" t="s">
        <v>83</v>
      </c>
      <c r="K64" s="2" t="s">
        <v>174</v>
      </c>
      <c r="L64" s="2" t="s">
        <v>198</v>
      </c>
      <c r="M64" s="23">
        <v>10962.7</v>
      </c>
      <c r="N64" s="4" t="str">
        <f t="shared" si="0"/>
        <v>High Sales</v>
      </c>
      <c r="O64" s="2">
        <v>5</v>
      </c>
      <c r="P64" s="5">
        <v>0.05</v>
      </c>
      <c r="Q64" s="27">
        <v>2813.07</v>
      </c>
    </row>
    <row r="65" spans="1:17" x14ac:dyDescent="0.5">
      <c r="A65" s="6" t="s">
        <v>199</v>
      </c>
      <c r="B65" s="7">
        <v>44968</v>
      </c>
      <c r="C65" s="7">
        <v>44973</v>
      </c>
      <c r="D65" s="6" t="s">
        <v>17</v>
      </c>
      <c r="E65" s="6" t="s">
        <v>64</v>
      </c>
      <c r="F65" s="6" t="s">
        <v>65</v>
      </c>
      <c r="G65" s="6" t="s">
        <v>20</v>
      </c>
      <c r="H65" s="6" t="s">
        <v>118</v>
      </c>
      <c r="I65" s="6" t="s">
        <v>22</v>
      </c>
      <c r="J65" s="6" t="s">
        <v>23</v>
      </c>
      <c r="K65" s="6" t="s">
        <v>37</v>
      </c>
      <c r="L65" s="6" t="s">
        <v>38</v>
      </c>
      <c r="M65" s="24">
        <v>14017.66</v>
      </c>
      <c r="N65" s="4" t="str">
        <f t="shared" si="0"/>
        <v>High Sales</v>
      </c>
      <c r="O65" s="6">
        <v>10</v>
      </c>
      <c r="P65" s="8">
        <v>0</v>
      </c>
      <c r="Q65" s="28">
        <v>1663.58</v>
      </c>
    </row>
    <row r="66" spans="1:17" x14ac:dyDescent="0.5">
      <c r="A66" s="2" t="s">
        <v>200</v>
      </c>
      <c r="B66" s="3">
        <v>45016</v>
      </c>
      <c r="C66" s="3">
        <v>45020</v>
      </c>
      <c r="D66" s="2" t="s">
        <v>17</v>
      </c>
      <c r="E66" s="2" t="s">
        <v>183</v>
      </c>
      <c r="F66" s="2" t="s">
        <v>184</v>
      </c>
      <c r="G66" s="2" t="s">
        <v>49</v>
      </c>
      <c r="H66" s="2" t="s">
        <v>36</v>
      </c>
      <c r="I66" s="2" t="s">
        <v>61</v>
      </c>
      <c r="J66" s="2" t="s">
        <v>55</v>
      </c>
      <c r="K66" s="2" t="s">
        <v>69</v>
      </c>
      <c r="L66" s="2" t="s">
        <v>201</v>
      </c>
      <c r="M66" s="23">
        <v>14208.21</v>
      </c>
      <c r="N66" s="4" t="str">
        <f t="shared" si="0"/>
        <v>High Sales</v>
      </c>
      <c r="O66" s="2">
        <v>3</v>
      </c>
      <c r="P66" s="5">
        <v>0.05</v>
      </c>
      <c r="Q66" s="27">
        <v>3416.16</v>
      </c>
    </row>
    <row r="67" spans="1:17" x14ac:dyDescent="0.5">
      <c r="A67" s="6" t="s">
        <v>202</v>
      </c>
      <c r="B67" s="7">
        <v>45097</v>
      </c>
      <c r="C67" s="7">
        <v>45100</v>
      </c>
      <c r="D67" s="6" t="s">
        <v>17</v>
      </c>
      <c r="E67" s="6" t="s">
        <v>53</v>
      </c>
      <c r="F67" s="6" t="s">
        <v>54</v>
      </c>
      <c r="G67" s="6" t="s">
        <v>49</v>
      </c>
      <c r="H67" s="6" t="s">
        <v>100</v>
      </c>
      <c r="I67" s="6" t="s">
        <v>30</v>
      </c>
      <c r="J67" s="6" t="s">
        <v>55</v>
      </c>
      <c r="K67" s="6" t="s">
        <v>56</v>
      </c>
      <c r="L67" s="6" t="s">
        <v>203</v>
      </c>
      <c r="M67" s="24">
        <v>12402.61</v>
      </c>
      <c r="N67" s="4" t="str">
        <f t="shared" ref="N67:N76" si="1">IF(M67&gt;4000,"High Sales","Low Sales")</f>
        <v>High Sales</v>
      </c>
      <c r="O67" s="6">
        <v>6</v>
      </c>
      <c r="P67" s="8">
        <v>0.05</v>
      </c>
      <c r="Q67" s="28">
        <v>1692.53</v>
      </c>
    </row>
    <row r="68" spans="1:17" x14ac:dyDescent="0.5">
      <c r="A68" s="2" t="s">
        <v>204</v>
      </c>
      <c r="B68" s="3">
        <v>45056</v>
      </c>
      <c r="C68" s="3">
        <v>45059</v>
      </c>
      <c r="D68" s="2" t="s">
        <v>46</v>
      </c>
      <c r="E68" s="2" t="s">
        <v>92</v>
      </c>
      <c r="F68" s="2" t="s">
        <v>93</v>
      </c>
      <c r="G68" s="2" t="s">
        <v>20</v>
      </c>
      <c r="H68" s="2" t="s">
        <v>36</v>
      </c>
      <c r="I68" s="2" t="s">
        <v>61</v>
      </c>
      <c r="J68" s="2" t="s">
        <v>23</v>
      </c>
      <c r="K68" s="2" t="s">
        <v>37</v>
      </c>
      <c r="L68" s="2" t="s">
        <v>44</v>
      </c>
      <c r="M68" s="23">
        <v>3021.09</v>
      </c>
      <c r="N68" s="4" t="str">
        <f t="shared" si="1"/>
        <v>Low Sales</v>
      </c>
      <c r="O68" s="2">
        <v>1</v>
      </c>
      <c r="P68" s="5">
        <v>0.1</v>
      </c>
      <c r="Q68" s="27">
        <v>569.76</v>
      </c>
    </row>
    <row r="69" spans="1:17" x14ac:dyDescent="0.5">
      <c r="A69" s="6" t="s">
        <v>205</v>
      </c>
      <c r="B69" s="7">
        <v>45247</v>
      </c>
      <c r="C69" s="7">
        <v>45251</v>
      </c>
      <c r="D69" s="6" t="s">
        <v>17</v>
      </c>
      <c r="E69" s="6" t="s">
        <v>183</v>
      </c>
      <c r="F69" s="6" t="s">
        <v>184</v>
      </c>
      <c r="G69" s="6" t="s">
        <v>28</v>
      </c>
      <c r="H69" s="6" t="s">
        <v>43</v>
      </c>
      <c r="I69" s="6" t="s">
        <v>50</v>
      </c>
      <c r="J69" s="6" t="s">
        <v>23</v>
      </c>
      <c r="K69" s="6" t="s">
        <v>31</v>
      </c>
      <c r="L69" s="6" t="s">
        <v>206</v>
      </c>
      <c r="M69" s="24">
        <v>7459.77</v>
      </c>
      <c r="N69" s="4" t="str">
        <f t="shared" si="1"/>
        <v>High Sales</v>
      </c>
      <c r="O69" s="6">
        <v>9</v>
      </c>
      <c r="P69" s="8">
        <v>0</v>
      </c>
      <c r="Q69" s="28">
        <v>1353.46</v>
      </c>
    </row>
    <row r="70" spans="1:17" x14ac:dyDescent="0.5">
      <c r="A70" s="2" t="s">
        <v>207</v>
      </c>
      <c r="B70" s="3">
        <v>45086</v>
      </c>
      <c r="C70" s="3">
        <v>45091</v>
      </c>
      <c r="D70" s="2" t="s">
        <v>17</v>
      </c>
      <c r="E70" s="2" t="s">
        <v>168</v>
      </c>
      <c r="F70" s="2" t="s">
        <v>169</v>
      </c>
      <c r="G70" s="2" t="s">
        <v>20</v>
      </c>
      <c r="H70" s="2" t="s">
        <v>74</v>
      </c>
      <c r="I70" s="2" t="s">
        <v>61</v>
      </c>
      <c r="J70" s="2" t="s">
        <v>23</v>
      </c>
      <c r="K70" s="2" t="s">
        <v>95</v>
      </c>
      <c r="L70" s="2" t="s">
        <v>101</v>
      </c>
      <c r="M70" s="23">
        <v>2045.7</v>
      </c>
      <c r="N70" s="4" t="str">
        <f t="shared" si="1"/>
        <v>Low Sales</v>
      </c>
      <c r="O70" s="2">
        <v>2</v>
      </c>
      <c r="P70" s="5">
        <v>0.2</v>
      </c>
      <c r="Q70" s="27">
        <v>662.56</v>
      </c>
    </row>
    <row r="71" spans="1:17" x14ac:dyDescent="0.5">
      <c r="A71" s="6" t="s">
        <v>208</v>
      </c>
      <c r="B71" s="7">
        <v>45076</v>
      </c>
      <c r="C71" s="7">
        <v>45081</v>
      </c>
      <c r="D71" s="6" t="s">
        <v>27</v>
      </c>
      <c r="E71" s="6" t="s">
        <v>121</v>
      </c>
      <c r="F71" s="6" t="s">
        <v>122</v>
      </c>
      <c r="G71" s="6" t="s">
        <v>28</v>
      </c>
      <c r="H71" s="6" t="s">
        <v>74</v>
      </c>
      <c r="I71" s="6" t="s">
        <v>22</v>
      </c>
      <c r="J71" s="6" t="s">
        <v>55</v>
      </c>
      <c r="K71" s="6" t="s">
        <v>77</v>
      </c>
      <c r="L71" s="6" t="s">
        <v>209</v>
      </c>
      <c r="M71" s="24">
        <v>39241.39</v>
      </c>
      <c r="N71" s="4" t="str">
        <f t="shared" si="1"/>
        <v>High Sales</v>
      </c>
      <c r="O71" s="6">
        <v>8</v>
      </c>
      <c r="P71" s="8">
        <v>0</v>
      </c>
      <c r="Q71" s="28">
        <v>7339.55</v>
      </c>
    </row>
    <row r="72" spans="1:17" x14ac:dyDescent="0.5">
      <c r="A72" s="2" t="s">
        <v>210</v>
      </c>
      <c r="B72" s="3">
        <v>45068</v>
      </c>
      <c r="C72" s="3">
        <v>45075</v>
      </c>
      <c r="D72" s="2" t="s">
        <v>27</v>
      </c>
      <c r="E72" s="2" t="s">
        <v>64</v>
      </c>
      <c r="F72" s="2" t="s">
        <v>65</v>
      </c>
      <c r="G72" s="2" t="s">
        <v>28</v>
      </c>
      <c r="H72" s="2" t="s">
        <v>29</v>
      </c>
      <c r="I72" s="2" t="s">
        <v>61</v>
      </c>
      <c r="J72" s="2" t="s">
        <v>83</v>
      </c>
      <c r="K72" s="2" t="s">
        <v>106</v>
      </c>
      <c r="L72" s="2" t="s">
        <v>158</v>
      </c>
      <c r="M72" s="23">
        <v>20693.189999999999</v>
      </c>
      <c r="N72" s="4" t="str">
        <f t="shared" si="1"/>
        <v>High Sales</v>
      </c>
      <c r="O72" s="2">
        <v>5</v>
      </c>
      <c r="P72" s="5">
        <v>0</v>
      </c>
      <c r="Q72" s="27">
        <v>5541.95</v>
      </c>
    </row>
    <row r="73" spans="1:17" x14ac:dyDescent="0.5">
      <c r="A73" s="6" t="s">
        <v>211</v>
      </c>
      <c r="B73" s="7">
        <v>45103</v>
      </c>
      <c r="C73" s="7">
        <v>45106</v>
      </c>
      <c r="D73" s="6" t="s">
        <v>27</v>
      </c>
      <c r="E73" s="6" t="s">
        <v>160</v>
      </c>
      <c r="F73" s="6" t="s">
        <v>161</v>
      </c>
      <c r="G73" s="6" t="s">
        <v>28</v>
      </c>
      <c r="H73" s="6" t="s">
        <v>21</v>
      </c>
      <c r="I73" s="6" t="s">
        <v>22</v>
      </c>
      <c r="J73" s="6" t="s">
        <v>55</v>
      </c>
      <c r="K73" s="6" t="s">
        <v>178</v>
      </c>
      <c r="L73" s="6" t="s">
        <v>212</v>
      </c>
      <c r="M73" s="24">
        <v>29937.22</v>
      </c>
      <c r="N73" s="4" t="str">
        <f t="shared" si="1"/>
        <v>High Sales</v>
      </c>
      <c r="O73" s="6">
        <v>8</v>
      </c>
      <c r="P73" s="8">
        <v>0.2</v>
      </c>
      <c r="Q73" s="28">
        <v>3191.18</v>
      </c>
    </row>
    <row r="74" spans="1:17" x14ac:dyDescent="0.5">
      <c r="A74" s="2" t="s">
        <v>213</v>
      </c>
      <c r="B74" s="3">
        <v>45089</v>
      </c>
      <c r="C74" s="3">
        <v>45095</v>
      </c>
      <c r="D74" s="2" t="s">
        <v>40</v>
      </c>
      <c r="E74" s="2" t="s">
        <v>64</v>
      </c>
      <c r="F74" s="2" t="s">
        <v>65</v>
      </c>
      <c r="G74" s="2" t="s">
        <v>28</v>
      </c>
      <c r="H74" s="2" t="s">
        <v>29</v>
      </c>
      <c r="I74" s="2" t="s">
        <v>22</v>
      </c>
      <c r="J74" s="2" t="s">
        <v>83</v>
      </c>
      <c r="K74" s="2" t="s">
        <v>150</v>
      </c>
      <c r="L74" s="2" t="s">
        <v>162</v>
      </c>
      <c r="M74" s="23">
        <v>7732.73</v>
      </c>
      <c r="N74" s="4" t="str">
        <f t="shared" si="1"/>
        <v>High Sales</v>
      </c>
      <c r="O74" s="2">
        <v>3</v>
      </c>
      <c r="P74" s="5">
        <v>0</v>
      </c>
      <c r="Q74" s="27">
        <v>679.5</v>
      </c>
    </row>
    <row r="75" spans="1:17" x14ac:dyDescent="0.5">
      <c r="A75" s="6" t="s">
        <v>214</v>
      </c>
      <c r="B75" s="7">
        <v>45196</v>
      </c>
      <c r="C75" s="7">
        <v>45200</v>
      </c>
      <c r="D75" s="6" t="s">
        <v>27</v>
      </c>
      <c r="E75" s="6" t="s">
        <v>59</v>
      </c>
      <c r="F75" s="6" t="s">
        <v>60</v>
      </c>
      <c r="G75" s="6" t="s">
        <v>20</v>
      </c>
      <c r="H75" s="6" t="s">
        <v>100</v>
      </c>
      <c r="I75" s="6" t="s">
        <v>30</v>
      </c>
      <c r="J75" s="6" t="s">
        <v>23</v>
      </c>
      <c r="K75" s="6" t="s">
        <v>31</v>
      </c>
      <c r="L75" s="6" t="s">
        <v>215</v>
      </c>
      <c r="M75" s="24">
        <v>1342.02</v>
      </c>
      <c r="N75" s="4" t="str">
        <f t="shared" si="1"/>
        <v>Low Sales</v>
      </c>
      <c r="O75" s="6">
        <v>3</v>
      </c>
      <c r="P75" s="8">
        <v>0.2</v>
      </c>
      <c r="Q75" s="28">
        <v>457.31</v>
      </c>
    </row>
    <row r="76" spans="1:17" x14ac:dyDescent="0.5">
      <c r="A76" s="2" t="s">
        <v>216</v>
      </c>
      <c r="B76" s="3">
        <v>45272</v>
      </c>
      <c r="C76" s="3">
        <v>45279</v>
      </c>
      <c r="D76" s="2" t="s">
        <v>40</v>
      </c>
      <c r="E76" s="2" t="s">
        <v>160</v>
      </c>
      <c r="F76" s="2" t="s">
        <v>161</v>
      </c>
      <c r="G76" s="2" t="s">
        <v>28</v>
      </c>
      <c r="H76" s="2" t="s">
        <v>100</v>
      </c>
      <c r="I76" s="2" t="s">
        <v>61</v>
      </c>
      <c r="J76" s="2" t="s">
        <v>55</v>
      </c>
      <c r="K76" s="2" t="s">
        <v>69</v>
      </c>
      <c r="L76" s="2" t="s">
        <v>201</v>
      </c>
      <c r="M76" s="23">
        <v>35099.51</v>
      </c>
      <c r="N76" s="4" t="str">
        <f t="shared" si="1"/>
        <v>High Sales</v>
      </c>
      <c r="O76" s="2">
        <v>8</v>
      </c>
      <c r="P76" s="5">
        <v>0</v>
      </c>
      <c r="Q76" s="27">
        <v>8256.73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35" x14ac:dyDescent="0.5"/>
  <cols>
    <col min="1" max="1" width="20" customWidth="1"/>
    <col min="2" max="2" width="18" customWidth="1"/>
  </cols>
  <sheetData>
    <row r="1" spans="1:2" ht="17.7" x14ac:dyDescent="0.55000000000000004">
      <c r="A1" s="9" t="s">
        <v>217</v>
      </c>
    </row>
    <row r="3" spans="1:2" x14ac:dyDescent="0.5">
      <c r="A3" s="10" t="s">
        <v>218</v>
      </c>
      <c r="B3" s="10" t="s">
        <v>219</v>
      </c>
    </row>
    <row r="4" spans="1:2" x14ac:dyDescent="0.5">
      <c r="A4" s="11" t="s">
        <v>220</v>
      </c>
      <c r="B4" s="11">
        <f>COUNTA('Superstore Sales'!A2:A76)</f>
        <v>75</v>
      </c>
    </row>
    <row r="5" spans="1:2" x14ac:dyDescent="0.5">
      <c r="A5" s="12" t="s">
        <v>221</v>
      </c>
      <c r="B5" s="13">
        <f>SUM('Superstore Sales'!M2:M76)</f>
        <v>1001480.4399999997</v>
      </c>
    </row>
    <row r="6" spans="1:2" x14ac:dyDescent="0.5">
      <c r="A6" s="11" t="s">
        <v>222</v>
      </c>
      <c r="B6" s="14">
        <f>SUM('Superstore Sales'!Q2:Q76)</f>
        <v>205847.62999999998</v>
      </c>
    </row>
    <row r="7" spans="1:2" x14ac:dyDescent="0.5">
      <c r="A7" s="12" t="s">
        <v>223</v>
      </c>
      <c r="B7" s="15">
        <f>AVERAGE('Superstore Sales'!P2:P76)</f>
        <v>7.2666666666666657E-2</v>
      </c>
    </row>
    <row r="8" spans="1:2" x14ac:dyDescent="0.5">
      <c r="A8" s="11" t="s">
        <v>224</v>
      </c>
      <c r="B8" s="14">
        <f>AVERAGE('Superstore Sales'!M2:M76)</f>
        <v>13353.07253333333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Superstore Sales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BYTE BOSS</cp:lastModifiedBy>
  <dcterms:created xsi:type="dcterms:W3CDTF">2026-03-07T13:03:08Z</dcterms:created>
  <dcterms:modified xsi:type="dcterms:W3CDTF">2026-03-08T05:27:46Z</dcterms:modified>
</cp:coreProperties>
</file>